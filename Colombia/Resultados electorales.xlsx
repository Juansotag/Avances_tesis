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uansoag\Downloads\Avances_tesis (modificado)\Colombia\"/>
    </mc:Choice>
  </mc:AlternateContent>
  <xr:revisionPtr revIDLastSave="0" documentId="13_ncr:1_{790A1B94-A7A2-4FCA-B6A4-F87D19394CF7}" xr6:coauthVersionLast="47" xr6:coauthVersionMax="47" xr10:uidLastSave="{00000000-0000-0000-0000-000000000000}"/>
  <bookViews>
    <workbookView xWindow="10140" yWindow="0" windowWidth="10455" windowHeight="10905" activeTab="1" xr2:uid="{00000000-000D-0000-FFFF-FFFF00000000}"/>
  </bookViews>
  <sheets>
    <sheet name="Candidatos E-26 ALC" sheetId="1" r:id="rId1"/>
    <sheet name="Redes Sociales" sheetId="2" r:id="rId2"/>
    <sheet name="Hoja1" sheetId="3" state="hidden" r:id="rId3"/>
    <sheet name="Resumen por Municipio" sheetId="4" r:id="rId4"/>
    <sheet name="Población 2023 (DANE)" sheetId="5" r:id="rId5"/>
  </sheets>
  <definedNames>
    <definedName name="_xlnm._FilterDatabase" localSheetId="0" hidden="1">'Candidatos E-26 ALC'!$A$1:$I$351</definedName>
    <definedName name="_xlnm._FilterDatabase" localSheetId="4" hidden="1">'Población 2023 (DANE)'!$A$1:$F$34</definedName>
    <definedName name="_xlnm._FilterDatabase" localSheetId="1" hidden="1">'Redes Sociales'!$A$1:$S$350</definedName>
    <definedName name="_xlnm._FilterDatabase" localSheetId="3" hidden="1">'Resumen por Municipio'!$A$1:$H$34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5" l="1"/>
  <c r="D4" i="3"/>
  <c r="E4" i="3" s="1"/>
  <c r="C4" i="3"/>
  <c r="D3" i="3"/>
  <c r="E3" i="3" s="1"/>
  <c r="C3" i="3"/>
</calcChain>
</file>

<file path=xl/sharedStrings.xml><?xml version="1.0" encoding="utf-8"?>
<sst xmlns="http://schemas.openxmlformats.org/spreadsheetml/2006/main" count="5004" uniqueCount="1424">
  <si>
    <t>ID Candidato</t>
  </si>
  <si>
    <t>Votos</t>
  </si>
  <si>
    <t>Municipio</t>
  </si>
  <si>
    <t>Candidato</t>
  </si>
  <si>
    <t>Partido / Movimiento Político</t>
  </si>
  <si>
    <t>Ganador</t>
  </si>
  <si>
    <t>gano</t>
  </si>
  <si>
    <t>Ausencia</t>
  </si>
  <si>
    <t>Ausencia_url</t>
  </si>
  <si>
    <t>Instagram</t>
  </si>
  <si>
    <t>X / Twitter</t>
  </si>
  <si>
    <t>TikTok</t>
  </si>
  <si>
    <t>Facebook</t>
  </si>
  <si>
    <t>COL-05045-005</t>
  </si>
  <si>
    <t>Apartadó</t>
  </si>
  <si>
    <t>Adolfo David Romero Benitez</t>
  </si>
  <si>
    <t>Partido Conservador Colombiano</t>
  </si>
  <si>
    <t>No</t>
  </si>
  <si>
    <t>https://www.instagram.com/adolforomerolider/</t>
  </si>
  <si>
    <t>https://x.com/AdolfoRomeroB</t>
  </si>
  <si>
    <t>https://www.facebook.com/adolforomerob</t>
  </si>
  <si>
    <t>COL-05001-010</t>
  </si>
  <si>
    <t>Medellín</t>
  </si>
  <si>
    <t>Albert Yordano Corredor Bustamante</t>
  </si>
  <si>
    <t>Medellín Nos Une</t>
  </si>
  <si>
    <t>https://www.instagram.com/albertcorredor/?hl=es-la</t>
  </si>
  <si>
    <t>https://x.com/AlbertCorredor</t>
  </si>
  <si>
    <t>https://www.tiktok.com/@albertcorredor_</t>
  </si>
  <si>
    <t>https://www.facebook.com/albertyordanocorredor/?locale=es_LA</t>
  </si>
  <si>
    <t>COL-08433-007</t>
  </si>
  <si>
    <t>Soledad</t>
  </si>
  <si>
    <t>Alcira Paola Sandoval Ibañez</t>
  </si>
  <si>
    <t>Estamos con Alcira</t>
  </si>
  <si>
    <t>Sí</t>
  </si>
  <si>
    <t xml:space="preserve">https://www.instagram.com/alcirasandovali/ </t>
  </si>
  <si>
    <t xml:space="preserve">https://x.com/alcirasandovali </t>
  </si>
  <si>
    <t xml:space="preserve">https://www.tiktok.com/@alcirasandovali </t>
  </si>
  <si>
    <t xml:space="preserve">https://www.facebook.com/alcira.sandoval.56679/ </t>
  </si>
  <si>
    <t>COL-08001-002</t>
  </si>
  <si>
    <t>Barranquilla</t>
  </si>
  <si>
    <t>Alejandro Char Chaljub</t>
  </si>
  <si>
    <t>Partido Cambio Radical</t>
  </si>
  <si>
    <t>https://www.instagram.com/alejandrocharch/</t>
  </si>
  <si>
    <t>https://x.com/AlejandroChar</t>
  </si>
  <si>
    <t>https://www.tiktok.com/@alejandrocharch</t>
  </si>
  <si>
    <t>https://www.facebook.com/AlejandroCharCh</t>
  </si>
  <si>
    <t>COL-76001-002</t>
  </si>
  <si>
    <t>Cali</t>
  </si>
  <si>
    <t>Alvaro Alejandro Eder Garces</t>
  </si>
  <si>
    <t>Revivamos Cali</t>
  </si>
  <si>
    <t>https://www.instagram.com/alejoeder/</t>
  </si>
  <si>
    <t>https://x.com/alejoeder</t>
  </si>
  <si>
    <t>https://www.tiktok.com/@alejoeder</t>
  </si>
  <si>
    <t>https://www.facebook.com/alejoederg</t>
  </si>
  <si>
    <t>COL-50001-005</t>
  </si>
  <si>
    <t>Villavicencio</t>
  </si>
  <si>
    <t>Alexander Baquero Sanabria</t>
  </si>
  <si>
    <t>Recuperemos Villavo</t>
  </si>
  <si>
    <t>https://www.instagram.com/alexbaqueros/</t>
  </si>
  <si>
    <t>https://x.com/AlexBaqueroS</t>
  </si>
  <si>
    <t>https://www.tiktok.com/@alexander.baquero2</t>
  </si>
  <si>
    <t>https://www.facebook.com/AlexBaqueroSa?_rdc=1&amp;_rdr#</t>
  </si>
  <si>
    <t>COL-44001-004</t>
  </si>
  <si>
    <t>Riohacha</t>
  </si>
  <si>
    <t>Eriberto Antonio Ibarra Campo</t>
  </si>
  <si>
    <t>Una Riohacha con Oportunidades</t>
  </si>
  <si>
    <t>https://www.instagram.com/eribertoibarrac/</t>
  </si>
  <si>
    <t>https://x.com/betoibarra2020</t>
  </si>
  <si>
    <t>https://www.tiktok.com/@eribertoibarrac</t>
  </si>
  <si>
    <t>https://www.facebook.com/eribertoibarrac/</t>
  </si>
  <si>
    <t>COL-25754-008</t>
  </si>
  <si>
    <t>Soacha</t>
  </si>
  <si>
    <t>Gloria Betty Zorro Africano</t>
  </si>
  <si>
    <t>Rescatemos a Soacha</t>
  </si>
  <si>
    <t>https://www.instagram.com/bettyzorro/</t>
  </si>
  <si>
    <t>https://x.com/BettyZorro</t>
  </si>
  <si>
    <t>https://www.tiktok.com/@betty.zorro</t>
  </si>
  <si>
    <t>https://www.facebook.com/BettyZorroA/</t>
  </si>
  <si>
    <t>COL-08001-005</t>
  </si>
  <si>
    <t>Antonio Eduardo Bohorquez Collazos</t>
  </si>
  <si>
    <t>Partido Polo Democrático Alternativo</t>
  </si>
  <si>
    <t>https://www.instagram.com/antoniobohorquez_/</t>
  </si>
  <si>
    <t>https://x.com/bohorquezesova</t>
  </si>
  <si>
    <t>https://www.tiktok.com/@antonio_bohorquez</t>
  </si>
  <si>
    <t>https://www.facebook.com/antonio.e.collazos/</t>
  </si>
  <si>
    <t>COL-20001-008</t>
  </si>
  <si>
    <t>Valledupar</t>
  </si>
  <si>
    <t>Camilo Andres Quiroz Hinojosa</t>
  </si>
  <si>
    <t>Camilo Quiroz Alcalde</t>
  </si>
  <si>
    <t>https://www.instagram.com/camiloquirozh/</t>
  </si>
  <si>
    <t>https://x.com/camiloquirozh</t>
  </si>
  <si>
    <t>https://www.tiktok.com/@camiloquirozh</t>
  </si>
  <si>
    <t>https://www.facebook.com/CamiloQuirozHinojosa/</t>
  </si>
  <si>
    <t>COL-11001-005</t>
  </si>
  <si>
    <t>Bogotá D.C.</t>
  </si>
  <si>
    <t>Carlos Fernando Galan Pachon</t>
  </si>
  <si>
    <t>Partido Nuevo Liberalismo</t>
  </si>
  <si>
    <t>https://www.instagram.com/carlosfernandogalan/</t>
  </si>
  <si>
    <t>https://x.com/CarlosFGalan</t>
  </si>
  <si>
    <t>https://www.tiktok.com/@carlosfgalan</t>
  </si>
  <si>
    <t>https://www.facebook.com/carlosfgalan</t>
  </si>
  <si>
    <t>COL-68001-008</t>
  </si>
  <si>
    <t>Bucaramanga</t>
  </si>
  <si>
    <t>Carlos Felipe Parra Rojas</t>
  </si>
  <si>
    <t>¡Valientes!</t>
  </si>
  <si>
    <t>https://www.instagram.com/carlosparrabuc/</t>
  </si>
  <si>
    <t>https://x.com/CarlosParraBUC</t>
  </si>
  <si>
    <t>https://www.tiktok.com/@carlosparrabga</t>
  </si>
  <si>
    <t>https://www.facebook.com/CarlosParraBUC</t>
  </si>
  <si>
    <t>COL-47001-002</t>
  </si>
  <si>
    <t>Santa Marta</t>
  </si>
  <si>
    <t>Carlos Alberto Pinedo Cuello</t>
  </si>
  <si>
    <t>Santa Marta Sí Puede</t>
  </si>
  <si>
    <t xml:space="preserve">https://www.instagram.com/carlospinedocuello/ </t>
  </si>
  <si>
    <t xml:space="preserve">https://x.com/CarlosPinedoC </t>
  </si>
  <si>
    <t xml:space="preserve">https://www.tiktok.com/@carlosapinedocuello </t>
  </si>
  <si>
    <t>https://www.facebook.com/CarlosAlbertoPinedoCuello</t>
  </si>
  <si>
    <t>COL-20001-005</t>
  </si>
  <si>
    <t>Christian Jose Moreno Villamizar</t>
  </si>
  <si>
    <t>Agrupación Política en Marcha</t>
  </si>
  <si>
    <t>https://www.instagram.com/cristianjosemoreno/</t>
  </si>
  <si>
    <t>https://x.com/CJoseMoreno</t>
  </si>
  <si>
    <t>https://www.tiktok.com/@christianjmoreno</t>
  </si>
  <si>
    <t>https://www.facebook.com/cristianjosemorenovillamizar/</t>
  </si>
  <si>
    <t>COL-68081-003</t>
  </si>
  <si>
    <t>Barrancabermeja</t>
  </si>
  <si>
    <t>Claudia Patricia Andrade Gonzalez</t>
  </si>
  <si>
    <t>Partido Colombia Renaciente</t>
  </si>
  <si>
    <t>https://www.instagram.com/claudiandradegonzalez/</t>
  </si>
  <si>
    <t>https://x.com/Claudia1Andrade</t>
  </si>
  <si>
    <t>https://www.tiktok.com/@claudiaandradegonzalez</t>
  </si>
  <si>
    <t>https://www.facebook.com/Claudia.Andrade.2022/</t>
  </si>
  <si>
    <t>COL-68001-003</t>
  </si>
  <si>
    <t>Consuelo Ordoñez de Rincon</t>
  </si>
  <si>
    <t>En Buenas Manos</t>
  </si>
  <si>
    <t>https://www.instagram.com/consueloberraca</t>
  </si>
  <si>
    <t>https://x.com/consuelordonez</t>
  </si>
  <si>
    <t>https://www.tiktok.com/@consueloberraca</t>
  </si>
  <si>
    <t>https://www.facebook.com/ConsueloBerraca</t>
  </si>
  <si>
    <t>COL-76001-009</t>
  </si>
  <si>
    <t>Danis Antonio Renteria Chala</t>
  </si>
  <si>
    <t>Colombia Humana-Pacto Histórico</t>
  </si>
  <si>
    <t>https://www.instagram.com/danisrenteria</t>
  </si>
  <si>
    <t xml:space="preserve">https://x.com/DanisRenteria </t>
  </si>
  <si>
    <t xml:space="preserve">https://www.tiktok.com/@danis_renteria </t>
  </si>
  <si>
    <t xml:space="preserve">https://www.facebook.com/DanisRenteriaChala/ </t>
  </si>
  <si>
    <t>COL-25754-009</t>
  </si>
  <si>
    <t>Dany Rene Caicedo Vasquez</t>
  </si>
  <si>
    <t>Para Avanzar Mas</t>
  </si>
  <si>
    <t>https://www.instagram.com/danny_caicedo/</t>
  </si>
  <si>
    <t>https://x.com/dannycaiced</t>
  </si>
  <si>
    <t>https://www.tiktok.com/@dannycaiced0</t>
  </si>
  <si>
    <t>https://www.facebook.com/dannycaicedosoacha/</t>
  </si>
  <si>
    <t>COL-76001-010</t>
  </si>
  <si>
    <t>Deninson Mendoza Ramos</t>
  </si>
  <si>
    <t>Independientes</t>
  </si>
  <si>
    <t>https://www.instagram.com/deninsonmendoza</t>
  </si>
  <si>
    <t>https://x.com/deninsonmendoza?s=21</t>
  </si>
  <si>
    <t>https://www.tiktok.com/@deninsonmendoza</t>
  </si>
  <si>
    <t>https://www.facebook.com/deninsonmendoza</t>
  </si>
  <si>
    <t>COL-11001-002</t>
  </si>
  <si>
    <t>Diego Andres Molano Aponte</t>
  </si>
  <si>
    <t>Reconstruyamos Bogotá</t>
  </si>
  <si>
    <t>https://www.instagram.com/diegomolanoaponte/</t>
  </si>
  <si>
    <t>https://x.com/Diego_Molano</t>
  </si>
  <si>
    <t>https://www.tiktok.com/@diegomolanoa</t>
  </si>
  <si>
    <t>https://www.facebook.com/DiegoMolanoAponte</t>
  </si>
  <si>
    <t>COL-05151-003</t>
  </si>
  <si>
    <t>Itagüí</t>
  </si>
  <si>
    <t>Diego Leon Torres Sanchez</t>
  </si>
  <si>
    <t>Itagüí Somos Todos - Partido Conservador</t>
  </si>
  <si>
    <t>https://www.instagram.com/diegotorresitagui/</t>
  </si>
  <si>
    <t>https://x.com/DiegoTItagui</t>
  </si>
  <si>
    <t>https://www.tiktok.com/@diegotorresitagui</t>
  </si>
  <si>
    <t>https://www.facebook.com/diegoTItagui/</t>
  </si>
  <si>
    <t>COL-13001-012</t>
  </si>
  <si>
    <t>Cartagena</t>
  </si>
  <si>
    <t>Dumek Jose Turbay Paz</t>
  </si>
  <si>
    <t>Unidos para Avanzar</t>
  </si>
  <si>
    <t>https://www.instagram.com/dumek_turbay/</t>
  </si>
  <si>
    <t>https://x.com/dumek_turbay</t>
  </si>
  <si>
    <t>https://www.tiktok.com/@dumek_turbay</t>
  </si>
  <si>
    <t>https://www.facebook.com/DumekTurbayP</t>
  </si>
  <si>
    <t>COL-11001-001</t>
  </si>
  <si>
    <t>Jorge Luis Vargas Valencia</t>
  </si>
  <si>
    <t>https://www.instagram.com/general_vargas</t>
  </si>
  <si>
    <t>https://x.com/ElGeneralVargas</t>
  </si>
  <si>
    <t>https://www.tiktok.com/@general_vargas</t>
  </si>
  <si>
    <t>https://www.facebook.com/ElGeneralVargas/</t>
  </si>
  <si>
    <t>COL-68081-006</t>
  </si>
  <si>
    <t>Elkin David Bueno Altahona</t>
  </si>
  <si>
    <t>Gratitud por la Gente</t>
  </si>
  <si>
    <t>https://www.instagram.com/elkindavidbueno/</t>
  </si>
  <si>
    <t>https://x.com/elkindavidbueno/with_replies</t>
  </si>
  <si>
    <t>https://www.tiktok.com/@elkin.david.bueno</t>
  </si>
  <si>
    <t>https://www.facebook.com/elkindavidbueno/?locale=es_LA</t>
  </si>
  <si>
    <t>COL-15001-009</t>
  </si>
  <si>
    <t>Tunja</t>
  </si>
  <si>
    <t>Mikhail Krasnov</t>
  </si>
  <si>
    <t>Partido Político La Fuerza de la Paz</t>
  </si>
  <si>
    <t>https://www.instagram.com/proferuso_alcalde/</t>
  </si>
  <si>
    <t>https://x.com/ElRusoAlcalde</t>
  </si>
  <si>
    <t>https://www.tiktok.com/@proferusoalcalde</t>
  </si>
  <si>
    <t>https://www.facebook.com/profesor.mijael.krasnov/</t>
  </si>
  <si>
    <t>COL-08433-008</t>
  </si>
  <si>
    <t>Elvira Patricia Gutierrez Hernandez</t>
  </si>
  <si>
    <t>Partido Ecologista Colombiano</t>
  </si>
  <si>
    <t>https://www.instagram.com/elviragutierrezh_/</t>
  </si>
  <si>
    <t>https://x.com/elviragh_</t>
  </si>
  <si>
    <t>https://www.tiktok.com/@evragutierrez</t>
  </si>
  <si>
    <t>https://www.facebook.com/elviragutierrezsoledad/?locale=es_LA</t>
  </si>
  <si>
    <t>COL-54001-014</t>
  </si>
  <si>
    <t>Cúcuta</t>
  </si>
  <si>
    <t>Emerson Meneses Gonzalez</t>
  </si>
  <si>
    <t>Nueva Fuerza Democrática</t>
  </si>
  <si>
    <t>https://www.instagram.com/emersonmenesesg/</t>
  </si>
  <si>
    <t>https://x.com/emersonmenesesg</t>
  </si>
  <si>
    <t>https://www.tiktok.com/@emersonmenesesg?lang=es-419</t>
  </si>
  <si>
    <t>https://www.facebook.com/emersonmenesesgonzalez/</t>
  </si>
  <si>
    <t>COL-20001-007</t>
  </si>
  <si>
    <t>Ernesto Miguel Orozco Duran</t>
  </si>
  <si>
    <t>Arreglemos Esto</t>
  </si>
  <si>
    <t>https://www.instagram.com/ernestoorozcod/</t>
  </si>
  <si>
    <t>https://x.com/ErnestoOrozcoD</t>
  </si>
  <si>
    <t xml:space="preserve">https://www.tiktok.com/@ernestoorozcod </t>
  </si>
  <si>
    <t>https://www.facebook.com/ErnestoMOrozcoD/?locale=es_LA</t>
  </si>
  <si>
    <t>COL-68001-002</t>
  </si>
  <si>
    <t>Edinson Fabian Oviedo Pinzon</t>
  </si>
  <si>
    <t>Movimiento Acciones Notables</t>
  </si>
  <si>
    <t>https://www.instagram.com/fabianoviedop/</t>
  </si>
  <si>
    <t>https://x.com/FabianOviedoP</t>
  </si>
  <si>
    <t>https://www.tiktok.com/@fabian_oviedop</t>
  </si>
  <si>
    <t>https://www.facebook.com/FabianOviedoP#</t>
  </si>
  <si>
    <t>COL-05001-001</t>
  </si>
  <si>
    <t>Federico Andres Gutierrez Zuluaga</t>
  </si>
  <si>
    <t>Partido Político Creemos</t>
  </si>
  <si>
    <t>https://www.instagram.com/ficogutierrez/</t>
  </si>
  <si>
    <t>https://x.com/FicoGutierrez</t>
  </si>
  <si>
    <t>https://www.tiktok.com/@ficogutierrez</t>
  </si>
  <si>
    <t>https://www.facebook.com/FicoGutierrezZ</t>
  </si>
  <si>
    <t>COL-54001-010</t>
  </si>
  <si>
    <t>Juan Carlos Garcia Herreros Cabrera</t>
  </si>
  <si>
    <t>Cúcuta Segura y Competitiva</t>
  </si>
  <si>
    <t>https://www.instagram.com/juancarlosgarciaherreros/</t>
  </si>
  <si>
    <t>https://x.com/GarciaHerrerosJ</t>
  </si>
  <si>
    <t>https://www.tiktok.com/@juancarlosgarciaherreros</t>
  </si>
  <si>
    <t>https://www.facebook.com/juancarlosgarciaherreros/</t>
  </si>
  <si>
    <t>COL-44001-003</t>
  </si>
  <si>
    <t>Genaro David Redondo Choles</t>
  </si>
  <si>
    <t>Genaro</t>
  </si>
  <si>
    <t>https://www.instagram.com/genaroredondoc/</t>
  </si>
  <si>
    <t>https://x.com/GenaroRedondoC</t>
  </si>
  <si>
    <t>https://www.tiktok.com/@genaroredondocholes</t>
  </si>
  <si>
    <t>https://www.facebook.com/GenaroRedondoC/</t>
  </si>
  <si>
    <t>COL-41001-007</t>
  </si>
  <si>
    <t>Neiva</t>
  </si>
  <si>
    <t>German Casagua Bonilla</t>
  </si>
  <si>
    <t>Acciones por Neiva</t>
  </si>
  <si>
    <t>https://www.instagram.com/germancasaguab/?hl=es-la</t>
  </si>
  <si>
    <t>https://x.com/germancasaguab</t>
  </si>
  <si>
    <t>https://www.tiktok.com/@germancasaguab?lang=es-419</t>
  </si>
  <si>
    <t>https://www.facebook.com/Germancasaguab/videos/</t>
  </si>
  <si>
    <t>COL-11001-006</t>
  </si>
  <si>
    <t>Gustavo Bolivar Moreno</t>
  </si>
  <si>
    <t>Pacto Histórico Bogotá</t>
  </si>
  <si>
    <t>https://www.instagram.com/gustavo_bolivar/</t>
  </si>
  <si>
    <t>https://x.com/GustavoBolivar</t>
  </si>
  <si>
    <t>https://www.tiktok.com/@gustavobolivarmoreno</t>
  </si>
  <si>
    <t>https://www.facebook.com/gustavoBolivarSenador/?locale=es_LA</t>
  </si>
  <si>
    <t>COL-76520-003</t>
  </si>
  <si>
    <t>Palmira</t>
  </si>
  <si>
    <t>Hector Fabio Velasco Hernandez</t>
  </si>
  <si>
    <t>Palmira 2040</t>
  </si>
  <si>
    <t>https://www.instagram.com/hectorfabiovelascoh/</t>
  </si>
  <si>
    <t>https://x.com/hectorfabio_</t>
  </si>
  <si>
    <t>https://www.tiktok.com/@hectorfabiovelascohe</t>
  </si>
  <si>
    <t>https://www.facebook.com/hectorfabio.velascohernandez.5/</t>
  </si>
  <si>
    <t>COL-05045-004</t>
  </si>
  <si>
    <t>Hector Rangel Palacios Rodriguez</t>
  </si>
  <si>
    <t>Unidos por la Vida</t>
  </si>
  <si>
    <t>https://www.instagram.com/hectorrangelp/</t>
  </si>
  <si>
    <t>https://x.com/HectorRangelPal</t>
  </si>
  <si>
    <t>https://www.tiktok.com/@hectorrangelp</t>
  </si>
  <si>
    <t>https://www.facebook.com/hectorrangelpalacios/?locale=es_LA</t>
  </si>
  <si>
    <t>COL-25754-007</t>
  </si>
  <si>
    <t>Heiner de Jesus Gaitan Parra</t>
  </si>
  <si>
    <t>Coalición Pacto Histórico Alianza Verde</t>
  </si>
  <si>
    <t>https://www.instagram.com/heinergaitan_/</t>
  </si>
  <si>
    <t>https://x.com/HeinerGaitan</t>
  </si>
  <si>
    <t>https://www.tiktok.com/@heinergaitan_</t>
  </si>
  <si>
    <t>https://www.facebook.com/GaitanParraHeiner/</t>
  </si>
  <si>
    <t>COL-08433-001</t>
  </si>
  <si>
    <t>Jose Joao Herrera Iranzo</t>
  </si>
  <si>
    <t>https://www.instagram.com/joaoherrera/?hl=es</t>
  </si>
  <si>
    <t>https://x.com/herrerajoao1</t>
  </si>
  <si>
    <t>https://www.tiktok.com/@joao_herrera</t>
  </si>
  <si>
    <t>https://www.facebook.com/herrerajoao1</t>
  </si>
  <si>
    <t>COL-68001-015</t>
  </si>
  <si>
    <t>Horacio Jose Serpa Moncada</t>
  </si>
  <si>
    <t>Serpá la Gente</t>
  </si>
  <si>
    <t>https://www.instagram.com/horaciojserpa/</t>
  </si>
  <si>
    <t>https://x.com/horaciojserpa</t>
  </si>
  <si>
    <t>https://www.tiktok.com/@horaciojserpa</t>
  </si>
  <si>
    <t>https://www.facebook.com/horaciojserpa</t>
  </si>
  <si>
    <t>COL-50001-016</t>
  </si>
  <si>
    <t>Irina Colette Salas Londoño</t>
  </si>
  <si>
    <t>Somos la Fuerza</t>
  </si>
  <si>
    <t>https://www.instagram.com/irinasalasl/</t>
  </si>
  <si>
    <t>https://x.com/IrinaSalasL</t>
  </si>
  <si>
    <t>https://www.tiktok.com/@irinacsalas</t>
  </si>
  <si>
    <t>https://www.facebook.com/IrinaSalasL/</t>
  </si>
  <si>
    <t>COL-68001-013</t>
  </si>
  <si>
    <t>Jaime Calderon Herrera</t>
  </si>
  <si>
    <t>Pacto Histórico Colombia Puede</t>
  </si>
  <si>
    <t>https://www.instagram.com/medico.jaimecalderon/</t>
  </si>
  <si>
    <t>https://x.com/jaimecalde50</t>
  </si>
  <si>
    <t>https://www.tiktok.com/@medicojaimecalderon</t>
  </si>
  <si>
    <t>https://www.facebook.com/jaime.calderon.319247/</t>
  </si>
  <si>
    <t>COL-63001-013</t>
  </si>
  <si>
    <t>Armenia</t>
  </si>
  <si>
    <t>James Padilla Garcia</t>
  </si>
  <si>
    <t>Armenia con Más Oportunidades</t>
  </si>
  <si>
    <t>https://www.instagram.com/jamespadillag/</t>
  </si>
  <si>
    <t>https://x.com/jamespadillag</t>
  </si>
  <si>
    <t>https://www.tiktok.com/@jamespadillag</t>
  </si>
  <si>
    <t>https://www.facebook.com/JamesPadillaGar/</t>
  </si>
  <si>
    <t>COL-13001-010</t>
  </si>
  <si>
    <t>Javier Julio Bejarano</t>
  </si>
  <si>
    <t>https://www.instagram.com/javierjuliob/</t>
  </si>
  <si>
    <t>https://x.com/javierjuliob/</t>
  </si>
  <si>
    <t>https://www.tiktok.com/@javierjuliob</t>
  </si>
  <si>
    <t>https://www.facebook.com/javierjuliob</t>
  </si>
  <si>
    <t>COL-11001-008</t>
  </si>
  <si>
    <t>Juan Daniel Oviedo Arango</t>
  </si>
  <si>
    <t>Con Toda por Bogotá</t>
  </si>
  <si>
    <t>https://www.instagram.com/jdoviedoar/</t>
  </si>
  <si>
    <t>https://x.com/JDOviedoAr</t>
  </si>
  <si>
    <t>https://www.tiktok.com/@jdoviedoar</t>
  </si>
  <si>
    <t>https://www.facebook.com/JDOviedoAr/</t>
  </si>
  <si>
    <t>COL-11001-009</t>
  </si>
  <si>
    <t>Jorge Enrique Robledo Castillo</t>
  </si>
  <si>
    <t>Partido Político Dignidad &amp; Compromiso</t>
  </si>
  <si>
    <t>https://www.instagram.com/jorge_enrique_robledo</t>
  </si>
  <si>
    <t>https://x.com/JERobledo</t>
  </si>
  <si>
    <t>https://www.tiktok.com/@jerobledo</t>
  </si>
  <si>
    <t>https://www.facebook.com/jorge.robledo.castillo</t>
  </si>
  <si>
    <t>COL-68276-007</t>
  </si>
  <si>
    <t>Floridablanca</t>
  </si>
  <si>
    <t>Jhair Andres Manrique Bautista</t>
  </si>
  <si>
    <t>Seamos</t>
  </si>
  <si>
    <t>https://www.instagram.com/jhair_manrique/</t>
  </si>
  <si>
    <t>https://x.com/JhairManrique</t>
  </si>
  <si>
    <t>https://www.tiktok.com/@jhair.manrique</t>
  </si>
  <si>
    <t>https://www.facebook.com/jhair.manrique/</t>
  </si>
  <si>
    <t>COL-73001-007</t>
  </si>
  <si>
    <t>Ibagué</t>
  </si>
  <si>
    <t>Johana Ximena Aranda Rivera</t>
  </si>
  <si>
    <t>Ibague para Todos</t>
  </si>
  <si>
    <t>https://www.instagram.com/johanaaranda_</t>
  </si>
  <si>
    <t>https://x.com/johanaaranda_</t>
  </si>
  <si>
    <t>https://www.tiktok.com/@johanaaranda_</t>
  </si>
  <si>
    <t xml:space="preserve">https://www.facebook.com/johanaarandar </t>
  </si>
  <si>
    <t>COL-15001-008</t>
  </si>
  <si>
    <t>John Ernesto Carrero Villamil</t>
  </si>
  <si>
    <t>Coalición John Carrero Alcalde</t>
  </si>
  <si>
    <t>https://www.instagram.com/john.carrerov/</t>
  </si>
  <si>
    <t>https://x.com/John_Carrero</t>
  </si>
  <si>
    <t>COL-73001-001</t>
  </si>
  <si>
    <t>Jorge Bolivar Torres</t>
  </si>
  <si>
    <t>https://www.instagram.com/jorgebolivaribague/</t>
  </si>
  <si>
    <t>https://x.com/JORGE_BOLIVAR</t>
  </si>
  <si>
    <t>https://www.tiktok.com/@jorgebolivaribague</t>
  </si>
  <si>
    <t>https://www.facebook.com/jorgebolivaribague/?locale=es_LA</t>
  </si>
  <si>
    <t>COL-54001-011</t>
  </si>
  <si>
    <t>Jorge Enrique Acevedo Peñaloza</t>
  </si>
  <si>
    <t>Todos por Cúcuta</t>
  </si>
  <si>
    <t>https://www.instagram.com/jorgeacevedooficial/</t>
  </si>
  <si>
    <t>https://x.com/Jorgeacevedocuc/with_replies</t>
  </si>
  <si>
    <t xml:space="preserve">https://www.tiktok.com/@jorgeacevedooficial </t>
  </si>
  <si>
    <t>https://www.facebook.com/jorgeacevedooficial</t>
  </si>
  <si>
    <t>COL-47001-001</t>
  </si>
  <si>
    <t>Jorge Luis Agudelo Apreza</t>
  </si>
  <si>
    <t>Movimiento Político Fuerza Ciudadana</t>
  </si>
  <si>
    <t xml:space="preserve">https://www.instagram.com/jorgeagudeloapreza/ </t>
  </si>
  <si>
    <t xml:space="preserve">https://x.com/JorgeAgudeloA </t>
  </si>
  <si>
    <t xml:space="preserve">https://www.tiktok.com/@jorgeagudeloa </t>
  </si>
  <si>
    <t>https://www.facebook.com/jorgeagudeloapreza/</t>
  </si>
  <si>
    <t>COL-17001-001</t>
  </si>
  <si>
    <t>Manizales</t>
  </si>
  <si>
    <t>Jorge Eduardo Rojas Giraldo</t>
  </si>
  <si>
    <t>Rojas</t>
  </si>
  <si>
    <t>https://www.instagram.com/jorgeerojasg/</t>
  </si>
  <si>
    <t>https://x.com/JorgeERojasG</t>
  </si>
  <si>
    <t>https://www.tiktok.com/@jorgeeduardorojas0</t>
  </si>
  <si>
    <t>https://www.facebook.com/Jorge.Eduardo.Rojas.Giraldo</t>
  </si>
  <si>
    <t>COL-73001-005</t>
  </si>
  <si>
    <t>Jose Hildebrando Barreto Castillo</t>
  </si>
  <si>
    <t>Firme por Ibague</t>
  </si>
  <si>
    <t>https://www.instagram.com/jose.barreto.castillo</t>
  </si>
  <si>
    <t>https://x.com/JoseBarretoIbag</t>
  </si>
  <si>
    <t>https://www.tiktok.com/@josebarretoc</t>
  </si>
  <si>
    <t>https://www.facebook.com/jose.barreto.ibague/</t>
  </si>
  <si>
    <t>COL-44001-006</t>
  </si>
  <si>
    <t>Jose Alberto Duran Rodriguez</t>
  </si>
  <si>
    <t>Partido de la U-Cambio Radical-ASI-Nuevo Liberalismo</t>
  </si>
  <si>
    <t>https://www.instagram.com/joseduranro/</t>
  </si>
  <si>
    <t>https://x.com/josedurancamara</t>
  </si>
  <si>
    <t>https://www.facebook.com/joseduranro/?locale=es_LA</t>
  </si>
  <si>
    <t>COL-68276-004</t>
  </si>
  <si>
    <t>Jose Fernando Sanchez Carvajal</t>
  </si>
  <si>
    <t>Floridablanca en Orden</t>
  </si>
  <si>
    <t>https://www.instagram.com/jose.fernando.sanchez/</t>
  </si>
  <si>
    <t>https://x.com/JoseFsanchezc</t>
  </si>
  <si>
    <t>https://www.tiktok.com/@josefernandosanchezc</t>
  </si>
  <si>
    <t>https://www.facebook.com/JoseFernandoSanchezOficial/</t>
  </si>
  <si>
    <t>COL-13001-009</t>
  </si>
  <si>
    <t>Jose Luis Osorio Galvis</t>
  </si>
  <si>
    <t>https://www.instagram.com/joseosoriog/</t>
  </si>
  <si>
    <t>https://x.com/JoseOsorioG</t>
  </si>
  <si>
    <t>https://www.tiktok.com/@joseosoriogalvis</t>
  </si>
  <si>
    <t>https://www.facebook.com/joseluisosoriogalviis/mentions/</t>
  </si>
  <si>
    <t>COL-68081-005</t>
  </si>
  <si>
    <t>Jonathan Stivel Vasquez Gomez</t>
  </si>
  <si>
    <t>Escribamos un Nuevo Capítulo</t>
  </si>
  <si>
    <t>https://www.instagram.com/jonathanvasquezgomez/</t>
  </si>
  <si>
    <t>https://x.com/Jsvasquezg</t>
  </si>
  <si>
    <t xml:space="preserve">https://www.tiktok.com/@jonathanvasquezgomez </t>
  </si>
  <si>
    <t>https://www.facebook.com/JonathanVasquezColombia</t>
  </si>
  <si>
    <t>COL-50001-003</t>
  </si>
  <si>
    <t>Juan Camilo Chavez Niño</t>
  </si>
  <si>
    <t>Por Villavicencio</t>
  </si>
  <si>
    <t>https://www.instagram.com/juancachavezn/</t>
  </si>
  <si>
    <t>https://x.com/juancachavezn</t>
  </si>
  <si>
    <t>https://www.tiktok.com/@juancamilochavez</t>
  </si>
  <si>
    <t>https://www.facebook.com/Juancachavezn/?locale=es_LA</t>
  </si>
  <si>
    <t>COL-19001-010</t>
  </si>
  <si>
    <t>Popayán</t>
  </si>
  <si>
    <t>Juan Carlos Muñoz Bravo</t>
  </si>
  <si>
    <t>Alianza con Popayán</t>
  </si>
  <si>
    <t>https://www.instagram.com/juancarlosmunoz_acp/?hl=es-la</t>
  </si>
  <si>
    <t>https://x.com/JuanCarlosM_B</t>
  </si>
  <si>
    <t>https://www.tiktok.com/@juancarlosmunoz_acp</t>
  </si>
  <si>
    <t>https://www.facebook.com/juancarlosmunozacp/?locale=es_LA</t>
  </si>
  <si>
    <t>COL-05001-012</t>
  </si>
  <si>
    <t>Juan Carlos Upegui Vanegas</t>
  </si>
  <si>
    <t>https://www.instagram.com/juancaupeguiv/</t>
  </si>
  <si>
    <t>https://x.com/JuanCaUpeguiV</t>
  </si>
  <si>
    <t xml:space="preserve">https://www.tiktok.com/@juancaupeguiv </t>
  </si>
  <si>
    <t>https://www.facebook.com/juancaupeguiv/</t>
  </si>
  <si>
    <t>COL-25754-006</t>
  </si>
  <si>
    <t>Victor Julian Sanchez Acosta</t>
  </si>
  <si>
    <t>Perico</t>
  </si>
  <si>
    <t>https://www.instagram.com/julianpericojr/</t>
  </si>
  <si>
    <t>https://x.com/JulianPericoJr</t>
  </si>
  <si>
    <t>https://www.tiktok.com/@julianperico</t>
  </si>
  <si>
    <t>https://www.facebook.com/JulianPericoJr/?locale=es_LA</t>
  </si>
  <si>
    <t>COL-23001-008</t>
  </si>
  <si>
    <t>Montería</t>
  </si>
  <si>
    <t>Hugo Fernando Kerguelen Garcia</t>
  </si>
  <si>
    <t>Una Sola Montería</t>
  </si>
  <si>
    <t>https://www.instagram.com/hugokerguelen/?hl=es</t>
  </si>
  <si>
    <t>https://x.com/kerguelenhugo</t>
  </si>
  <si>
    <t>https://www.tiktok.com/@hugokerguelen</t>
  </si>
  <si>
    <t>https://www.facebook.com/hugokerguelengarcia/?locale=eu_ES</t>
  </si>
  <si>
    <t>COL-76520-009</t>
  </si>
  <si>
    <t>Griselda Janeth Restrepo Gallego</t>
  </si>
  <si>
    <t>Palmira mi Orgullo</t>
  </si>
  <si>
    <t>https://www.instagram.com/lavallecaucana</t>
  </si>
  <si>
    <t>https://x.com/LaVallecaucana</t>
  </si>
  <si>
    <t>https://www.tiktok.com/@lavallecaucana</t>
  </si>
  <si>
    <t>https://www.facebook.com/LaVallecaucana</t>
  </si>
  <si>
    <t>COL-05151-005</t>
  </si>
  <si>
    <t>Leon Mario Bedoya Lopez</t>
  </si>
  <si>
    <t>Partido Alianza Social Independiente ASI</t>
  </si>
  <si>
    <t>https://www.instagram.com/leonmariobedoyalopez</t>
  </si>
  <si>
    <t>https://x.com/LEONBEDOYA</t>
  </si>
  <si>
    <t>https://www.tiktok.com/@leonmariobedoya</t>
  </si>
  <si>
    <t>https://www.facebook.com/LeonMarioBedoyaLopez</t>
  </si>
  <si>
    <t>COL-76109-010</t>
  </si>
  <si>
    <t>Buenaventura</t>
  </si>
  <si>
    <t>Libia Mosquera Viveros</t>
  </si>
  <si>
    <t>https://www.instagram.com/libiamosqueraviveros/</t>
  </si>
  <si>
    <t>https://x.com/libiamosquerav</t>
  </si>
  <si>
    <t>https://www.tiktok.com/@libiamosquerav</t>
  </si>
  <si>
    <t>https://www.facebook.com/libia.mosqueraviveros/</t>
  </si>
  <si>
    <t>COL-76109-015</t>
  </si>
  <si>
    <t>Ligia del Carmen Cordoba Martinez</t>
  </si>
  <si>
    <t>Coalición Alcaldía de Buenaventura</t>
  </si>
  <si>
    <t>https://www.instagram.com/ligiacordobamartinez/</t>
  </si>
  <si>
    <t>https://x.com/LigiadelcarmenC</t>
  </si>
  <si>
    <t>https://www.tiktok.com/@ligia_del_carmen1</t>
  </si>
  <si>
    <t>https://www.facebook.com/LigiadelCarmenCordoba/</t>
  </si>
  <si>
    <t>COL-20001-002</t>
  </si>
  <si>
    <t>Lina Maria de Armas Daza</t>
  </si>
  <si>
    <t>Pacto Histórico</t>
  </si>
  <si>
    <t>https://www.instagram.com/linadearmas</t>
  </si>
  <si>
    <t>https://x.com/linadearmas</t>
  </si>
  <si>
    <t>https://www.tiktok.com/@linadearmas10</t>
  </si>
  <si>
    <t>https://www.facebook.com/linamardearmas/?locale=es_LA</t>
  </si>
  <si>
    <t>COL-05049-003</t>
  </si>
  <si>
    <t>Bello</t>
  </si>
  <si>
    <t>Yulieth Lorena Gonzalez Ospina</t>
  </si>
  <si>
    <t>Bello Nos Une</t>
  </si>
  <si>
    <t>https://www.instagram.com/lore_gonzalezospina/</t>
  </si>
  <si>
    <t>https://x.com/Lore_GonzalezOs</t>
  </si>
  <si>
    <t>https://www.tiktok.com/@lore_gonzalezospina</t>
  </si>
  <si>
    <t>https://www.facebook.com/lorenagonzalezospina/reels/</t>
  </si>
  <si>
    <t>COL-41001-002</t>
  </si>
  <si>
    <t>Edinson Amin Losada Perdomo</t>
  </si>
  <si>
    <t>https://www.instagram.com/aminlosada_oficial/</t>
  </si>
  <si>
    <t>https://x.com/LosadaAmin</t>
  </si>
  <si>
    <t>https://www.tiktok.com/@aminlosadaperdomo</t>
  </si>
  <si>
    <t>https://www.facebook.com/aminlosadaparaservirle/?locale=es_LA</t>
  </si>
  <si>
    <t>COL-66001-001</t>
  </si>
  <si>
    <t>Pereira</t>
  </si>
  <si>
    <t>Maicol Lopera Cardona</t>
  </si>
  <si>
    <t>Alianza por Pereira</t>
  </si>
  <si>
    <t>https://www.instagram.com/maicolopera/</t>
  </si>
  <si>
    <t>https://x.com/maicolopera</t>
  </si>
  <si>
    <t>https://www.tiktok.com/@maicolopera</t>
  </si>
  <si>
    <t>https://www.facebook.com/maicolopera</t>
  </si>
  <si>
    <t>COL-73001-006</t>
  </si>
  <si>
    <t>Marco Emilio Hincapie Ramirez</t>
  </si>
  <si>
    <t>https://www.instagram.com/marcohincapie</t>
  </si>
  <si>
    <t>https://x.com/marcoemiliohr</t>
  </si>
  <si>
    <t>https://www.tiktok.com/@marco_hincapie</t>
  </si>
  <si>
    <t>https://www.facebook.com/MarcoHincapieR/</t>
  </si>
  <si>
    <t>COL-13001-011</t>
  </si>
  <si>
    <t>Judith del Carmen Pinedo Florez</t>
  </si>
  <si>
    <t>Valientes por Cartagena</t>
  </si>
  <si>
    <t>https://www.instagram.com/judithpinedo_/</t>
  </si>
  <si>
    <t>https://x.com/MariamulataCTG</t>
  </si>
  <si>
    <t>https://www.tiktok.com/@judithpinedo_</t>
  </si>
  <si>
    <t>https://www.facebook.com/p/Judith-Pinedo-100079535374119/</t>
  </si>
  <si>
    <t>COL-52001-004</t>
  </si>
  <si>
    <t>Pasto</t>
  </si>
  <si>
    <t>Mario Ernesto Enriquez Chenas</t>
  </si>
  <si>
    <t>Vamos Pasto Vamos</t>
  </si>
  <si>
    <t>https://www.instagram.com/Marioenriquezch</t>
  </si>
  <si>
    <t>https://x.com/Marioenriquez83</t>
  </si>
  <si>
    <t>https://www.tiktok.com/@Marioenriquezchenas</t>
  </si>
  <si>
    <t>https://www.facebook.com/marioernesto.enriquezchenas</t>
  </si>
  <si>
    <t>COL-54001-007</t>
  </si>
  <si>
    <t>Mario Vicente Figueroa Fernandez</t>
  </si>
  <si>
    <t>https://www.instagram.com/figueroafernandezmario/</t>
  </si>
  <si>
    <t>https://x.com/mariofigueroaf</t>
  </si>
  <si>
    <t>https://www.tiktok.com/@mario_figueroa015</t>
  </si>
  <si>
    <t>https://www.facebook.com/mario.figueroafernandez.756/</t>
  </si>
  <si>
    <t>COL-66001-003</t>
  </si>
  <si>
    <t>Martha Isabel Alzate Hincapie</t>
  </si>
  <si>
    <t>https://www.instagram.com/marthaalzateh/</t>
  </si>
  <si>
    <t>https://x.com/MarthaAlzate_</t>
  </si>
  <si>
    <t>https://www.tiktok.com/@marthaalzateh</t>
  </si>
  <si>
    <t>https://www.facebook.com/marthaisabel.alzatehincapie.5/</t>
  </si>
  <si>
    <t>COL-76001-005</t>
  </si>
  <si>
    <t>Miyerlandi Torres Agredo</t>
  </si>
  <si>
    <t>Un Renacer para Cali</t>
  </si>
  <si>
    <t>https://www.instagram.com/miyerlandit/</t>
  </si>
  <si>
    <t>https://x.com/MiyerlandiT</t>
  </si>
  <si>
    <t>https://www.tiktok.com/@miyerlandit</t>
  </si>
  <si>
    <t>https://www.facebook.com/MiyerlandiTorresA/</t>
  </si>
  <si>
    <t>COL-20001-006</t>
  </si>
  <si>
    <t>Miguel Antonio Morales Campo</t>
  </si>
  <si>
    <t>Movimiento Alianza Democrática Amplia</t>
  </si>
  <si>
    <t>https://www.instagram.com/miguelmorales_lavoz/</t>
  </si>
  <si>
    <t>https://x.com/mmoraleslavoz</t>
  </si>
  <si>
    <t>https://www.tiktok.com/@miguelmoraleslavoz</t>
  </si>
  <si>
    <t>https://www.facebook.com/MiguelMoralesOficial/</t>
  </si>
  <si>
    <t>COL-66001-006</t>
  </si>
  <si>
    <t>Mauricio Salazar Pelaez</t>
  </si>
  <si>
    <t>Primero Pereira</t>
  </si>
  <si>
    <t xml:space="preserve">https://www.instagram.com/mauriciosalazarpelaez </t>
  </si>
  <si>
    <t xml:space="preserve">https://x.com/MSalazar2014 </t>
  </si>
  <si>
    <t xml:space="preserve">https://www.tiktok.com/@mauriciosalazarpelaez </t>
  </si>
  <si>
    <t xml:space="preserve">https://www.facebook.com/mauriciosalazarpelaez </t>
  </si>
  <si>
    <t>COL-73001-009</t>
  </si>
  <si>
    <t>Fernando Murillo Orrego</t>
  </si>
  <si>
    <t>Ibagué Siempre Adelante</t>
  </si>
  <si>
    <t>https://www.instagram.com/fernandomurilloorrego/</t>
  </si>
  <si>
    <t>https://x.com/murillofer71</t>
  </si>
  <si>
    <t>https://www.tiktok.com/@fernandomurilloor71</t>
  </si>
  <si>
    <t>https://www.facebook.com/fernandomurilloorrego/?locale=es_LA</t>
  </si>
  <si>
    <t>COL-05049-008</t>
  </si>
  <si>
    <t>Nestor David Restrepo Bonnett</t>
  </si>
  <si>
    <t>Bello en Serio</t>
  </si>
  <si>
    <t>https://www.instagram.com/nestor.restrepob/</t>
  </si>
  <si>
    <t>https://x.com/nestorrestrepob</t>
  </si>
  <si>
    <t>https://www.tiktok.com/@nestor.restrepob</t>
  </si>
  <si>
    <t>https://www.facebook.com/nedarebon/</t>
  </si>
  <si>
    <t>COL-11001-004</t>
  </si>
  <si>
    <t>Nicolas Ramos Barbosa</t>
  </si>
  <si>
    <t>Mas Acciones Menos Rostros</t>
  </si>
  <si>
    <t>https://www.instagram.com/nicolas_ramos_b/</t>
  </si>
  <si>
    <t>https://x.com/Nicolas_ramos_b</t>
  </si>
  <si>
    <t>https://www.tiktok.com/@nicolas_ramos_b</t>
  </si>
  <si>
    <t>COL-52001-006</t>
  </si>
  <si>
    <t>Nicolas Martin Toro Muñoz</t>
  </si>
  <si>
    <t>Movimiento Alianza Ciudadana</t>
  </si>
  <si>
    <t>https://www.instagram.com/nicolastoro25/</t>
  </si>
  <si>
    <t>https://x.com/NicolasToro2024</t>
  </si>
  <si>
    <t>https://www.tiktok.com/@nicolastoro2024</t>
  </si>
  <si>
    <t xml:space="preserve">https://www.facebook.com/nicolastoro24/?locale=ur_PK </t>
  </si>
  <si>
    <t>COL-52001-003</t>
  </si>
  <si>
    <t>Nilsa Rocio Villota Rosero</t>
  </si>
  <si>
    <t>Pasto con Caracter</t>
  </si>
  <si>
    <t>https://www.instagram.com/nilsavillotarosero/</t>
  </si>
  <si>
    <t>https://x.com/NilsaVillotaR</t>
  </si>
  <si>
    <t>https://www.tiktok.com/@nilsavillotarosero</t>
  </si>
  <si>
    <t>https://www.facebook.com/NilsaVillotaR/</t>
  </si>
  <si>
    <t>COL-23001-006</t>
  </si>
  <si>
    <t>Natalia Eugenia Lopez Fuentes</t>
  </si>
  <si>
    <t>Montería es Capaz</t>
  </si>
  <si>
    <t xml:space="preserve">https://www.instagram.com/natalialopezfuentes/ </t>
  </si>
  <si>
    <t>https://x.com/nlopezfuentes</t>
  </si>
  <si>
    <t xml:space="preserve">https://www.tiktok.com/@nlopezfuentes </t>
  </si>
  <si>
    <t>https://www.facebook.com/natalialofuentes</t>
  </si>
  <si>
    <t>COL-66170-004</t>
  </si>
  <si>
    <t>Dosquebradas</t>
  </si>
  <si>
    <t>Oscar Mauricio Toro Valencia</t>
  </si>
  <si>
    <t>Toro Alcalde 2024-2027</t>
  </si>
  <si>
    <t>https://www.instagram.com/oscarmauriciotoro/</t>
  </si>
  <si>
    <t>https://x.com/omauriciotoro</t>
  </si>
  <si>
    <t>https://www.tiktok.com/@omaurotoro</t>
  </si>
  <si>
    <t>https://www.facebook.com/omaurotoro</t>
  </si>
  <si>
    <t>COL-76001-006</t>
  </si>
  <si>
    <t>Edilson Huerfano Ordoñez</t>
  </si>
  <si>
    <t>https://www.instagram.com/padrehuerfano/</t>
  </si>
  <si>
    <t>https://x.com/padrehuerfano</t>
  </si>
  <si>
    <t>https://www.tiktok.com/@padrehuerfano1</t>
  </si>
  <si>
    <t>https://www.facebook.com/PadreHuerfano1/</t>
  </si>
  <si>
    <t>COL-05001-011</t>
  </si>
  <si>
    <t>Maria Paulina Aguinaga Lezcano</t>
  </si>
  <si>
    <t>Por Medellín</t>
  </si>
  <si>
    <t>https://www.instagram.com/paulinaaguinaga/</t>
  </si>
  <si>
    <t>https://x.com/PauAguinaga</t>
  </si>
  <si>
    <t>https://www.tiktok.com/@pauaguinaga</t>
  </si>
  <si>
    <t>https://www.facebook.com/PaulinaAguinagaL/</t>
  </si>
  <si>
    <t>COL-17001-010</t>
  </si>
  <si>
    <t>Paula Andrea Toro Santana</t>
  </si>
  <si>
    <t>UNA</t>
  </si>
  <si>
    <t>https://www.instagram.com/pautorosantana/</t>
  </si>
  <si>
    <t>https://x.com/pautorosantana</t>
  </si>
  <si>
    <t>https://www.tiktok.com/@pautorosantana</t>
  </si>
  <si>
    <t>https://www.facebook.com/pautorosantana</t>
  </si>
  <si>
    <t>COL-11001-007</t>
  </si>
  <si>
    <t>Rafael Alfonso Quintero Mora</t>
  </si>
  <si>
    <t>https://www.instagram.com/rafael_quintero05/</t>
  </si>
  <si>
    <t>https://x.com/Raquim55</t>
  </si>
  <si>
    <t>https://www.tiktok.com/@rafaelquinterom</t>
  </si>
  <si>
    <t>https://www.facebook.com/rafaelquinteromora/</t>
  </si>
  <si>
    <t>COL-05266-001</t>
  </si>
  <si>
    <t>Envigado</t>
  </si>
  <si>
    <t>Raul Eduardo Cardona Gonzalez</t>
  </si>
  <si>
    <t>Envigado, Vamos Adelante</t>
  </si>
  <si>
    <t>https://www.instagram.com/raulcardona_envigado/</t>
  </si>
  <si>
    <t>https://x.com/RaulCardonaENV</t>
  </si>
  <si>
    <t>https://www.tiktok.com/@raulcardona_envigado</t>
  </si>
  <si>
    <t>https://www.facebook.com/RaulCardonaEnvigado/?locale=es_LA</t>
  </si>
  <si>
    <t>COL-73001-003</t>
  </si>
  <si>
    <t>Renso Alexander Garcia Parra</t>
  </si>
  <si>
    <t>Partido Alianza Verde</t>
  </si>
  <si>
    <t>https://www.instagram.com/renzo.garcia1</t>
  </si>
  <si>
    <t>https://x.com/renzogarciap</t>
  </si>
  <si>
    <t>https://www.tiktok.com/@renzo.garcia1</t>
  </si>
  <si>
    <t>https://www.facebook.com/RenzoGarciaP/?locale=es_LA</t>
  </si>
  <si>
    <t>COL-66170-003</t>
  </si>
  <si>
    <t>Roberto Jimenez Naranjo</t>
  </si>
  <si>
    <t>Dosquebradas Visión de Ciudad</t>
  </si>
  <si>
    <t>https://www.instagram.com/robertojimenezdosquebradas/</t>
  </si>
  <si>
    <t>https://x.com/robertoDdas23</t>
  </si>
  <si>
    <t>https://www.tiktok.com/@robertojimenezof?_t=8cexpyzfhyq&amp;_r=1</t>
  </si>
  <si>
    <t>https://www.facebook.com/Robertojimenezdosquebradas</t>
  </si>
  <si>
    <t>COL-76001-007</t>
  </si>
  <si>
    <t>Roberto Ortiz Urueña</t>
  </si>
  <si>
    <t>Firme con Cali</t>
  </si>
  <si>
    <t>https://www.instagram.com/robertoortizcali/</t>
  </si>
  <si>
    <t>https://x.com/robertoortizu</t>
  </si>
  <si>
    <t>https://www.tiktok.com/@robertoortizcali</t>
  </si>
  <si>
    <t>https://www.facebook.com/robertoortizu</t>
  </si>
  <si>
    <t>COL-05001-004</t>
  </si>
  <si>
    <t>Rodolfo Andres Correa Vargas</t>
  </si>
  <si>
    <t>https://www.instagram.com/rodolfo.correav/</t>
  </si>
  <si>
    <t>https://x.com/RodolfoCorreaV</t>
  </si>
  <si>
    <t>https://www.tiktok.com/@rodolfocorreav</t>
  </si>
  <si>
    <t>https://www.facebook.com/RodolfoCorreaV7/</t>
  </si>
  <si>
    <t>COL-11001-003</t>
  </si>
  <si>
    <t>Rodrigo Lara Restrepo</t>
  </si>
  <si>
    <t>Lara-Demócrata</t>
  </si>
  <si>
    <t>https://www.instagram.com/rodrigolararestrepo/</t>
  </si>
  <si>
    <t>https://x.com/Rodrigo_Lara_</t>
  </si>
  <si>
    <t>https://www.tiktok.com/@soyrodrigolara</t>
  </si>
  <si>
    <t>https://www.facebook.com/RodrigoLaraR</t>
  </si>
  <si>
    <t>COL-50001-008</t>
  </si>
  <si>
    <t>Mario Alberto Romero Arismendy</t>
  </si>
  <si>
    <t>Partido Demócrata Colombiano</t>
  </si>
  <si>
    <t>https://www.instagram.com/elmarioromero/</t>
  </si>
  <si>
    <t>https://x.com/romeromario87</t>
  </si>
  <si>
    <t>https://www.tiktok.com/@elmarioromero</t>
  </si>
  <si>
    <t>https://www.facebook.com/elmarioromero</t>
  </si>
  <si>
    <t>COL-05151-002</t>
  </si>
  <si>
    <t>Rosa Maria Acevedo Jaramillo</t>
  </si>
  <si>
    <t>Coalición Itagüí en Orden</t>
  </si>
  <si>
    <t>https://www.instagram.com/rosaacevedoj/</t>
  </si>
  <si>
    <t>https://x.com/RosaAcevedoJ</t>
  </si>
  <si>
    <t>https://www.tiktok.com/@rosaacevedoj</t>
  </si>
  <si>
    <t>https://www.facebook.com/RosaAcevedoJ/</t>
  </si>
  <si>
    <t>COL-68276-010</t>
  </si>
  <si>
    <t>Sergio Eduardo Flechas Moreno</t>
  </si>
  <si>
    <t>Sergio Flechas Alcalde</t>
  </si>
  <si>
    <t>https://www.instagram.com/sergioflechas/</t>
  </si>
  <si>
    <t>https://x.com/sergioflechas</t>
  </si>
  <si>
    <t>https://www.tiktok.com/@sergioflechas</t>
  </si>
  <si>
    <t>https://www.facebook.com/SergioFlechas10/</t>
  </si>
  <si>
    <t>COL-54001-012</t>
  </si>
  <si>
    <t>Sergio Andres Maldonado Huertas</t>
  </si>
  <si>
    <t>Partido Alianza Verde-Dignidad y Compromiso</t>
  </si>
  <si>
    <t>https://www.instagram.com/sergiomaldonado_h/</t>
  </si>
  <si>
    <t>https://x.com/sergiomaldoh</t>
  </si>
  <si>
    <t>https://www.tiktok.com/@sergiomaldonadoh</t>
  </si>
  <si>
    <t>https://www.facebook.com/SergioMaldonadoH/</t>
  </si>
  <si>
    <t>COL-68001-001</t>
  </si>
  <si>
    <t>Jaime Andres Beltran Martinez</t>
  </si>
  <si>
    <t>Defendamos Bucaramanga</t>
  </si>
  <si>
    <t>https://www.instagram.com/soyjaimeandres/reels/</t>
  </si>
  <si>
    <t>https://x.com/soyjaimeandres</t>
  </si>
  <si>
    <t>https://www.tiktok.com/@soyjaimeandres</t>
  </si>
  <si>
    <t>https://www.facebook.com/soyjaimeandres</t>
  </si>
  <si>
    <t>COL-54001-013</t>
  </si>
  <si>
    <t>Jose Leonardo Jacome Carrascal</t>
  </si>
  <si>
    <t>Cúcuta Avanza</t>
  </si>
  <si>
    <t>https://www.instagram.com/soyleojacome/</t>
  </si>
  <si>
    <t>https://x.com/Soyleojacome_</t>
  </si>
  <si>
    <t xml:space="preserve">https://www.tiktok.com/@soyleojacome1 </t>
  </si>
  <si>
    <t xml:space="preserve">https://www.facebook.com/leo.jacome.3532/ </t>
  </si>
  <si>
    <t>COL-63001-003</t>
  </si>
  <si>
    <t>Stefany Gomez Murillo</t>
  </si>
  <si>
    <t>Liderazgo Ciudadano</t>
  </si>
  <si>
    <t>https://www.instagram.com/stefanygomezarmenia/</t>
  </si>
  <si>
    <t>https://x.com/StefanyGomezArm/with_replies</t>
  </si>
  <si>
    <t>https://www.tiktok.com/@stefanygomezarmenia</t>
  </si>
  <si>
    <t>https://www.facebook.com/stefanygomezarmenia</t>
  </si>
  <si>
    <t>COL-66001-007</t>
  </si>
  <si>
    <t>Reynaldo Steven Cardenas Espinosa</t>
  </si>
  <si>
    <t>Movimiento Salvación Nacional</t>
  </si>
  <si>
    <t>https://www.instagram.com/stevencardenas1/</t>
  </si>
  <si>
    <t>https://x.com/Steven_Cardenas</t>
  </si>
  <si>
    <t>https://www.tiktok.com/@stevencardenas1</t>
  </si>
  <si>
    <t>https://www.facebook.com/stevencardenasconcejal/?locale=es_LA</t>
  </si>
  <si>
    <t>COL-66170-005</t>
  </si>
  <si>
    <t>Tatiana Lopez Saldarriaga</t>
  </si>
  <si>
    <t>Partido de la Unión por la Gente - Partido de la U</t>
  </si>
  <si>
    <t>https://www.instagram.com/tatianalopezsaldarriaga/</t>
  </si>
  <si>
    <t>https://x.com/TatianaLopSal</t>
  </si>
  <si>
    <t>https://www.tiktok.com/@tatianalopezsaldarriaga</t>
  </si>
  <si>
    <t>https://www.facebook.com/TatianaLopezSaldarriagaA</t>
  </si>
  <si>
    <t>COL-05001-014</t>
  </si>
  <si>
    <t>Gilberto Tobon Sanin</t>
  </si>
  <si>
    <t>https://www.instagram.com/tobonsanin</t>
  </si>
  <si>
    <t>https://x.com/tobonsanin</t>
  </si>
  <si>
    <t>https://www.tiktok.com/@profegtobonsanin</t>
  </si>
  <si>
    <t>https://www.facebook.com/tobonsanin</t>
  </si>
  <si>
    <t>COL-15001-001</t>
  </si>
  <si>
    <t>Vicente Anibal Ojeda Martinez</t>
  </si>
  <si>
    <t>Alianza por Tunja</t>
  </si>
  <si>
    <t>https://www.instagram.com/vicenteaojeda/</t>
  </si>
  <si>
    <t>https://x.com/vicenteaojeda</t>
  </si>
  <si>
    <t>https://www.tiktok.com/@vicenteaojeda</t>
  </si>
  <si>
    <t>https://www.facebook.com/vaojeda/?locale=es_LA</t>
  </si>
  <si>
    <t>COL-76520-007</t>
  </si>
  <si>
    <t>Victor Manuel Ramos Vergara</t>
  </si>
  <si>
    <t>Palmira Bien Pensado</t>
  </si>
  <si>
    <t>https://www.instagram.com/victorramospal/</t>
  </si>
  <si>
    <t>https://x.com/victorramospal</t>
  </si>
  <si>
    <t>https://www.tiktok.com/@victorramospal</t>
  </si>
  <si>
    <t>https://www.facebook.com/victorramospal/?locale=es_LA</t>
  </si>
  <si>
    <t>COL-41001-006</t>
  </si>
  <si>
    <t>Wilker Esneider Bautista Macias</t>
  </si>
  <si>
    <t>Por la Vida en Neiva</t>
  </si>
  <si>
    <t>https://www.instagram.com/wilker_bautista/</t>
  </si>
  <si>
    <t>https://x.com/WilkerBautista</t>
  </si>
  <si>
    <t>https://www.tiktok.com/@wilkerbautista</t>
  </si>
  <si>
    <t>https://www.facebook.com/WilkerEsneiderBautista</t>
  </si>
  <si>
    <t>COL-13001-002</t>
  </si>
  <si>
    <t>William Garcia Tirado</t>
  </si>
  <si>
    <t>Los Tres Golpes</t>
  </si>
  <si>
    <t>https://www.instagram.com/williamgarciatirado_/</t>
  </si>
  <si>
    <t>https://x.com/williamgarciatd</t>
  </si>
  <si>
    <t>https://www.tiktok.com/@williamgarciatd</t>
  </si>
  <si>
    <t>https://www.facebook.com/williamrgarciatirado</t>
  </si>
  <si>
    <t>COL-70001-014</t>
  </si>
  <si>
    <t>Sincelejo</t>
  </si>
  <si>
    <t>Yahir Fernando Acuña Cardales</t>
  </si>
  <si>
    <t xml:space="preserve">https://www.instagram.com/yahiracuna_/ </t>
  </si>
  <si>
    <t xml:space="preserve">https://x.com/YahirAcunaCa </t>
  </si>
  <si>
    <t xml:space="preserve">https://www.tiktok.com/@yahiracunaalcalde </t>
  </si>
  <si>
    <t>https://www.facebook.com/yahiracunaalcalde/</t>
  </si>
  <si>
    <t>COL-05045-001</t>
  </si>
  <si>
    <t>Adolfo Leon Tabares Gutierrez</t>
  </si>
  <si>
    <t>COL-05045-006</t>
  </si>
  <si>
    <t>Luis Augusto Medina Pulgarin</t>
  </si>
  <si>
    <t>COL-05045-010</t>
  </si>
  <si>
    <t>Fredy Edison Largo Suarez</t>
  </si>
  <si>
    <t>COL-05045-003</t>
  </si>
  <si>
    <t>John Jaime Urrea Chica</t>
  </si>
  <si>
    <t>Partido Colombia Justa Libres</t>
  </si>
  <si>
    <t>COL-05045-007</t>
  </si>
  <si>
    <t>Luis Enrique Teran Mosquera</t>
  </si>
  <si>
    <t>Partido Político Esperanza Democrática</t>
  </si>
  <si>
    <t>COL-05045-002</t>
  </si>
  <si>
    <t>Luis Gonzalo Giraldo Aguirre</t>
  </si>
  <si>
    <t>COL-05045-008</t>
  </si>
  <si>
    <t>Henry Cordoba Rivas</t>
  </si>
  <si>
    <t>Movimiento Político Colombia Humana</t>
  </si>
  <si>
    <t>COL-05045-009</t>
  </si>
  <si>
    <t>Jhon Fredis Cordoba Perea</t>
  </si>
  <si>
    <t>Partido Político Gente en Movimiento</t>
  </si>
  <si>
    <t>COL-05045-011</t>
  </si>
  <si>
    <t>Ricardo Leon Camargo Ortiz</t>
  </si>
  <si>
    <t>Apartadó Vamos con Toda</t>
  </si>
  <si>
    <t>COL-63001-014</t>
  </si>
  <si>
    <t>Jose Ignacio Rojas Sepulveda</t>
  </si>
  <si>
    <t>Armenia 2027</t>
  </si>
  <si>
    <t>https://www.instagram.com/joseignarojas/</t>
  </si>
  <si>
    <t xml:space="preserve">https://www.tiktok.com/@joseignarojas </t>
  </si>
  <si>
    <t>https://www.facebook.com/Joseignaciorojasoficial/</t>
  </si>
  <si>
    <t>COL-63001-010</t>
  </si>
  <si>
    <t>Bryant Stiven Naranjo Raigoza</t>
  </si>
  <si>
    <t>Armenia - Partido de la U - Partido en Marcha</t>
  </si>
  <si>
    <t>COL-63001-004</t>
  </si>
  <si>
    <t>Alvaro Arias Velasquez</t>
  </si>
  <si>
    <t>Armenia Nos Mueve</t>
  </si>
  <si>
    <t>COL-63001-007</t>
  </si>
  <si>
    <t>Oscar Gomez Agudelo</t>
  </si>
  <si>
    <t>COL-63001-006</t>
  </si>
  <si>
    <t>Mary Luz Ospina Garcia</t>
  </si>
  <si>
    <t>Partido Centro Democrático</t>
  </si>
  <si>
    <t>COL-63001-009</t>
  </si>
  <si>
    <t>Javier Andres Angulo Gutierrez</t>
  </si>
  <si>
    <t>COL-63001-005</t>
  </si>
  <si>
    <t>Orlando Mosquera Forero</t>
  </si>
  <si>
    <t>COL-63001-011</t>
  </si>
  <si>
    <t>Hernan Felipe Jaramillo Duque</t>
  </si>
  <si>
    <t>COL-63001-002</t>
  </si>
  <si>
    <t>Nasser Ramirez Gutierrez</t>
  </si>
  <si>
    <t>COL-63001-008</t>
  </si>
  <si>
    <t>Ivan Paez Baquero</t>
  </si>
  <si>
    <t>COL-63001-012</t>
  </si>
  <si>
    <t>Rolando Muñoz Torres</t>
  </si>
  <si>
    <t>COL-63001-001</t>
  </si>
  <si>
    <t>German Laureano Ujueta Diago</t>
  </si>
  <si>
    <t>COL-68081-010</t>
  </si>
  <si>
    <t>Jaime Enrique Peña Robles</t>
  </si>
  <si>
    <t>COL-68081-004</t>
  </si>
  <si>
    <t>Edinson Ariel Diosa Taborda</t>
  </si>
  <si>
    <t>COL-68081-002</t>
  </si>
  <si>
    <t>Gustavo Adolfo de la Ossa Sanchez</t>
  </si>
  <si>
    <t>Transformando Territorio</t>
  </si>
  <si>
    <t>COL-68081-007</t>
  </si>
  <si>
    <t>Rafael Leonardo Granados Cardenas</t>
  </si>
  <si>
    <t>COL-68081-009</t>
  </si>
  <si>
    <t>Jose Alexander Perdomo Sepulveda</t>
  </si>
  <si>
    <t>COL-68081-001</t>
  </si>
  <si>
    <t>Elcida Martinez Peinado</t>
  </si>
  <si>
    <t>COL-68081-008</t>
  </si>
  <si>
    <t>Rafael Garces Barragan</t>
  </si>
  <si>
    <t>COL-68081-012</t>
  </si>
  <si>
    <t>Paul Enrique Solorzano Garcia</t>
  </si>
  <si>
    <t>COL-68081-011</t>
  </si>
  <si>
    <t>Alvaro Perez Vides</t>
  </si>
  <si>
    <t>COL-08001-006</t>
  </si>
  <si>
    <t>Hassan Fares Hachem</t>
  </si>
  <si>
    <t>https://www.instagram.com/hassanfares1970/</t>
  </si>
  <si>
    <t>https://www.facebook.com/plaza84/?ref=NONE_xav_ig_profile_page_web#</t>
  </si>
  <si>
    <t>COL-08001-001</t>
  </si>
  <si>
    <t>Luis Enrique Guzman Chams</t>
  </si>
  <si>
    <t>Partido Verde Oxígeno</t>
  </si>
  <si>
    <t>COL-08001-003</t>
  </si>
  <si>
    <t>Harry Alberto Silva Llinas</t>
  </si>
  <si>
    <t>S.O.S por Barranquilla</t>
  </si>
  <si>
    <t>COL-08001-004</t>
  </si>
  <si>
    <t>Ronald Jose Valdes Padilla</t>
  </si>
  <si>
    <t>COL-05049-001</t>
  </si>
  <si>
    <t>Juan Felipe Restrepo Tamayo</t>
  </si>
  <si>
    <t>https://www.facebook.com/feliperestrepot</t>
  </si>
  <si>
    <t>COL-05049-005</t>
  </si>
  <si>
    <t>Hugo Alexander Diaz Marin</t>
  </si>
  <si>
    <t>COL-05049-002</t>
  </si>
  <si>
    <t>Isabel Daniela Ortega Perez</t>
  </si>
  <si>
    <t>COL-05049-007</t>
  </si>
  <si>
    <t>Claudia Lorena Castrillon Zuluaga</t>
  </si>
  <si>
    <t>COL-05049-004</t>
  </si>
  <si>
    <t>Santiago Zapata Quiroz</t>
  </si>
  <si>
    <t>COL-05049-006</t>
  </si>
  <si>
    <t>Jesus Ernesto Zapata Orrego</t>
  </si>
  <si>
    <t>COL-05049-009</t>
  </si>
  <si>
    <t>Robinson Andres Alvarez Londoño</t>
  </si>
  <si>
    <t>Movimiento Alternativo Indígena y Social MAIS</t>
  </si>
  <si>
    <t>COL-68001-012</t>
  </si>
  <si>
    <t>Luis Roberto Ordoñez Ardila</t>
  </si>
  <si>
    <t>Vamos a Crecer</t>
  </si>
  <si>
    <t>https://www.instagram.com/luisrobertoordonez/</t>
  </si>
  <si>
    <t>https://www.facebook.com/luisordonez123456</t>
  </si>
  <si>
    <t>COL-68001-011</t>
  </si>
  <si>
    <t>Carlos Fernando Sotomonte Garavito</t>
  </si>
  <si>
    <t>Coraje</t>
  </si>
  <si>
    <t>COL-68001-009</t>
  </si>
  <si>
    <t>Ludwing Mantilla Castro</t>
  </si>
  <si>
    <t>COL-68001-014</t>
  </si>
  <si>
    <t>Diego Arturo Tamayo Salcedo</t>
  </si>
  <si>
    <t>Avancemos por Bucaramanga</t>
  </si>
  <si>
    <t>COL-68001-004</t>
  </si>
  <si>
    <t>Jose del Carmen Velasquez Pereira</t>
  </si>
  <si>
    <t>COL-68001-006</t>
  </si>
  <si>
    <t>Jorge Alberto Figueroa Clausen</t>
  </si>
  <si>
    <t>COL-68001-005</t>
  </si>
  <si>
    <t>Alvaro Torres</t>
  </si>
  <si>
    <t>COL-68001-007</t>
  </si>
  <si>
    <t>Giovanni Alvarez Maldonado</t>
  </si>
  <si>
    <t>COL-68001-010</t>
  </si>
  <si>
    <t>Manuel Eduardo Parada Rueda</t>
  </si>
  <si>
    <t>COL-76109-016</t>
  </si>
  <si>
    <t>Jaime Oswaldo Marinez Quiñones</t>
  </si>
  <si>
    <t>Unidos Podemos</t>
  </si>
  <si>
    <t>COL-76109-006</t>
  </si>
  <si>
    <t>Jose Luis Muñoz Lerma</t>
  </si>
  <si>
    <t>Movimiento Autoridades Indígenas de Colombia AICO</t>
  </si>
  <si>
    <t>COL-76109-011</t>
  </si>
  <si>
    <t>Rafael Cuero Angulo</t>
  </si>
  <si>
    <t>COL-76109-007</t>
  </si>
  <si>
    <t>Javier Torres Caicedo</t>
  </si>
  <si>
    <t>COL-76109-004</t>
  </si>
  <si>
    <t>Wilson Rodallega Panameño</t>
  </si>
  <si>
    <t>Partido Liberal Colombiano</t>
  </si>
  <si>
    <t>COL-76109-012</t>
  </si>
  <si>
    <t>Leyla Magaly Carabali Rodriguez</t>
  </si>
  <si>
    <t>COL-76109-002</t>
  </si>
  <si>
    <t>Maria Miyela Riascos Riascos</t>
  </si>
  <si>
    <t>COL-76109-009</t>
  </si>
  <si>
    <t>Wistong Segura Valencia</t>
  </si>
  <si>
    <t>COL-76109-008</t>
  </si>
  <si>
    <t>Edgardo Noviteño Carabali</t>
  </si>
  <si>
    <t>COL-76109-014</t>
  </si>
  <si>
    <t>William Grueso Estacio</t>
  </si>
  <si>
    <t>COL-76109-003</t>
  </si>
  <si>
    <t>Daniel Olave Ordoñez</t>
  </si>
  <si>
    <t>Partido Político Todos Somos Colombia</t>
  </si>
  <si>
    <t>COL-76109-013</t>
  </si>
  <si>
    <t>Evangelista Aragon Cuero</t>
  </si>
  <si>
    <t>Partido del Trabajo de Colombia</t>
  </si>
  <si>
    <t>COL-76109-001</t>
  </si>
  <si>
    <t>Oscar Murillo Asprilla</t>
  </si>
  <si>
    <t>COL-76109-005</t>
  </si>
  <si>
    <t>Ulpiano Riascos Arboleda</t>
  </si>
  <si>
    <t>Partido Liga Gobernantes Anticorrupción - Liga</t>
  </si>
  <si>
    <t>COL-76001-004</t>
  </si>
  <si>
    <t>Diana Carolina Rojas Atehortua</t>
  </si>
  <si>
    <t>Cali Caleñísima</t>
  </si>
  <si>
    <t>COL-76001-008</t>
  </si>
  <si>
    <t>Heriberto Escobar Gonzalez</t>
  </si>
  <si>
    <t>COL-76001-003</t>
  </si>
  <si>
    <t>Wilson Ruiz Orejuela</t>
  </si>
  <si>
    <t>S.O.S Cali - Salvemos a Cali</t>
  </si>
  <si>
    <t>COL-76001-001</t>
  </si>
  <si>
    <t>Wilfredo Pardo Herrera</t>
  </si>
  <si>
    <t>COL-13001-003</t>
  </si>
  <si>
    <t>Jacqueline del Carmen Perea Blanco</t>
  </si>
  <si>
    <t>COL-13001-007</t>
  </si>
  <si>
    <t>Fabio Aristizabal Angel</t>
  </si>
  <si>
    <t>COL-13001-005</t>
  </si>
  <si>
    <t>Nausicrate Perez Dautt</t>
  </si>
  <si>
    <t>COL-13001-004</t>
  </si>
  <si>
    <t>Gustavo Ramon Martinez Theran</t>
  </si>
  <si>
    <t>COL-13001-008</t>
  </si>
  <si>
    <t>Eduardo Villanueva Orozco</t>
  </si>
  <si>
    <t>COL-13001-006</t>
  </si>
  <si>
    <t>Javier Manuel Doria Arrieta</t>
  </si>
  <si>
    <t>Cartagena Fuerte y Libre</t>
  </si>
  <si>
    <t>COL-13001-001</t>
  </si>
  <si>
    <t>Richard Martinez Piloz</t>
  </si>
  <si>
    <t>COL-54001-006</t>
  </si>
  <si>
    <t>David Eduardo Fajardo Granados</t>
  </si>
  <si>
    <t>COL-54001-009</t>
  </si>
  <si>
    <t>Carlos Humberto Cote Mendoza</t>
  </si>
  <si>
    <t>COL-54001-005</t>
  </si>
  <si>
    <t>Jose Luis Mora Castro</t>
  </si>
  <si>
    <t>Nuevas Ideas</t>
  </si>
  <si>
    <t>COL-54001-002</t>
  </si>
  <si>
    <t>Jonathan Isaac Garcia Pabon</t>
  </si>
  <si>
    <t>COL-54001-004</t>
  </si>
  <si>
    <t>Carlos Alberto Jaimes Fernandez</t>
  </si>
  <si>
    <t>COL-54001-008</t>
  </si>
  <si>
    <t>Blanca Cruz Gonzalez</t>
  </si>
  <si>
    <t>COL-54001-001</t>
  </si>
  <si>
    <t>Carlos Martin Rojas Carvajal</t>
  </si>
  <si>
    <t>COL-54001-003</t>
  </si>
  <si>
    <t>Felix Adolfo Muñoz Luna</t>
  </si>
  <si>
    <t>COL-66170-001</t>
  </si>
  <si>
    <t>Juan Pablo Cano Pulgarin</t>
  </si>
  <si>
    <t>Unión Ciudadana</t>
  </si>
  <si>
    <t>COL-66170-002</t>
  </si>
  <si>
    <t>Wilson Mario Garcia Saenz</t>
  </si>
  <si>
    <t>COL-05266-002</t>
  </si>
  <si>
    <t>Jhony Oswaldo Velez Quintero</t>
  </si>
  <si>
    <t xml:space="preserve">https://www.instagram.com/jhonyvelezquintero/ </t>
  </si>
  <si>
    <t xml:space="preserve">https://www.facebook.com/jhony.velez.quintero.2025/ </t>
  </si>
  <si>
    <t>COL-05266-003</t>
  </si>
  <si>
    <t>Sergio Osvaldo Molina Perez</t>
  </si>
  <si>
    <t>https://www.instagram.com/sergiomolinape/</t>
  </si>
  <si>
    <t>https://www.facebook.com/sergiomolinape/</t>
  </si>
  <si>
    <t>COL-05266-004</t>
  </si>
  <si>
    <t>Andres David Torres Gomez</t>
  </si>
  <si>
    <t>Envigado Merece Más</t>
  </si>
  <si>
    <t>COL-68276-009</t>
  </si>
  <si>
    <t>Jefferson Vega Buitrago</t>
  </si>
  <si>
    <t>COL-68276-002</t>
  </si>
  <si>
    <t>Juan de Dios Tarazona Mendoza</t>
  </si>
  <si>
    <t>Colombia Humana / Pacto Histórico</t>
  </si>
  <si>
    <t>COL-68276-008</t>
  </si>
  <si>
    <t>Milton Villamizar Afanador</t>
  </si>
  <si>
    <t>COL-68276-006</t>
  </si>
  <si>
    <t>Milady Tovar Cabarique</t>
  </si>
  <si>
    <t>COL-68276-005</t>
  </si>
  <si>
    <t>Oscar Eduardo Guerra Ochoa</t>
  </si>
  <si>
    <t>COL-68276-001</t>
  </si>
  <si>
    <t>Juan Carlos Ayala Suarez</t>
  </si>
  <si>
    <t>COL-68276-003</t>
  </si>
  <si>
    <t>Juan Pablo Perez Tarazona</t>
  </si>
  <si>
    <t>COL-73001-008</t>
  </si>
  <si>
    <t>Ricardo Alfonso Ferro Lozano</t>
  </si>
  <si>
    <t>COL-73001-002</t>
  </si>
  <si>
    <t>Didier Fabian Blanco Rodriguez</t>
  </si>
  <si>
    <t>COL-73001-004</t>
  </si>
  <si>
    <t>Miguel Angel Villarraga Lozano</t>
  </si>
  <si>
    <t>Ibagué Culta y Prospera</t>
  </si>
  <si>
    <t>COL-05151-004</t>
  </si>
  <si>
    <t>Andres Mauricio Bedoya Montoya</t>
  </si>
  <si>
    <t>Mauro Renovación a lo Legal</t>
  </si>
  <si>
    <t>COL-05151-007</t>
  </si>
  <si>
    <t>Nelson Acevedo Vargas</t>
  </si>
  <si>
    <t>COL-05151-008</t>
  </si>
  <si>
    <t>Hugo Alonso Sanchez Hernandez</t>
  </si>
  <si>
    <t>COL-05151-001</t>
  </si>
  <si>
    <t>Leyner Camilo Lopez Granada</t>
  </si>
  <si>
    <t>COL-05151-006</t>
  </si>
  <si>
    <t>Rubel Augusto Ocampo Valencia</t>
  </si>
  <si>
    <t>COL-17001-005</t>
  </si>
  <si>
    <t>Martin Sierra Quiroz</t>
  </si>
  <si>
    <t>COL-17001-002</t>
  </si>
  <si>
    <t>Carlos Arturo Buritica Atehortua</t>
  </si>
  <si>
    <t>COL-17001-006</t>
  </si>
  <si>
    <t>German Vallejo Obando</t>
  </si>
  <si>
    <t>COL-17001-009</t>
  </si>
  <si>
    <t>Martin Emilio Ramirez Cardona</t>
  </si>
  <si>
    <t>COL-17001-007</t>
  </si>
  <si>
    <t>Miguel Trujillo Londoño</t>
  </si>
  <si>
    <t>Revivamos Manizales</t>
  </si>
  <si>
    <t>COL-17001-003</t>
  </si>
  <si>
    <t>Jorge Alberto Betancurt Raigoza</t>
  </si>
  <si>
    <t>COL-17001-004</t>
  </si>
  <si>
    <t>Francisco Javier Gonzalez Sanchez</t>
  </si>
  <si>
    <t>COL-17001-008</t>
  </si>
  <si>
    <t>John Robert Osorio Isaza</t>
  </si>
  <si>
    <t>COL-05001-005</t>
  </si>
  <si>
    <t>Luis Bernardo Velez Montoya</t>
  </si>
  <si>
    <t>Movimiento Cuidemos Medellín</t>
  </si>
  <si>
    <t>COL-05001-007</t>
  </si>
  <si>
    <t>Deicy Elena Bermudez Hurtado</t>
  </si>
  <si>
    <t>COL-05001-006</t>
  </si>
  <si>
    <t>Juan Camilo Restrepo Gomez</t>
  </si>
  <si>
    <t>COL-05001-002</t>
  </si>
  <si>
    <t>Juan David Valderrama Lopez</t>
  </si>
  <si>
    <t>Proponemos por Medellín</t>
  </si>
  <si>
    <t>COL-05001-009</t>
  </si>
  <si>
    <t>Liliana Maria Rendon Roldan</t>
  </si>
  <si>
    <t>De Frente Movimiento Lilianista</t>
  </si>
  <si>
    <t>COL-05001-013</t>
  </si>
  <si>
    <t>Carlos Alberto Ballesteros Baron</t>
  </si>
  <si>
    <t>COL-05001-008</t>
  </si>
  <si>
    <t>Felipe Velez Roa</t>
  </si>
  <si>
    <t>COL-05001-003</t>
  </si>
  <si>
    <t>Jaime Alberto Mejia Alvaran</t>
  </si>
  <si>
    <t>Sumamos</t>
  </si>
  <si>
    <t>COL-23001-003</t>
  </si>
  <si>
    <t>Yalenis Paola Mazon Esquivel</t>
  </si>
  <si>
    <t>COL-23001-007</t>
  </si>
  <si>
    <t>Elias David Boada Pretelt</t>
  </si>
  <si>
    <t>COL-23001-005</t>
  </si>
  <si>
    <t>Luis Alfredo Jimenez Espitia</t>
  </si>
  <si>
    <t>COL-23001-002</t>
  </si>
  <si>
    <t>Oscar Antonio Hoyos Martinez</t>
  </si>
  <si>
    <t>COL-23001-004</t>
  </si>
  <si>
    <t>Liliana Yunez Luquetta</t>
  </si>
  <si>
    <t>Unidos por Montería</t>
  </si>
  <si>
    <t>COL-23001-001</t>
  </si>
  <si>
    <t>Jose Ignacio Burgos Aruachan</t>
  </si>
  <si>
    <t>COL-41001-001</t>
  </si>
  <si>
    <t>Hector Javier Osorio Botello</t>
  </si>
  <si>
    <t>https://www.instagram.com/Osoriobotelloconcejal</t>
  </si>
  <si>
    <t>https://www.facebook.com/OsorioBotelloAlcalde</t>
  </si>
  <si>
    <t>COL-41001-008</t>
  </si>
  <si>
    <t>Jorge Andres Gechem Artunduaga</t>
  </si>
  <si>
    <t>Es Entre Todos</t>
  </si>
  <si>
    <t>https://www.instagram.com/jorgeandresgechem/?hl=es</t>
  </si>
  <si>
    <t>https://www.facebook.com/JorgeAndresGA</t>
  </si>
  <si>
    <t>COL-41001-004</t>
  </si>
  <si>
    <t>Yilber Leandro Saavedra</t>
  </si>
  <si>
    <t>Transformemos</t>
  </si>
  <si>
    <t>https://www.instagram.com/yilberleandrosaavedra/</t>
  </si>
  <si>
    <t>https://www.tiktok.com/@yilbersaavedra.oficial</t>
  </si>
  <si>
    <t>https://www.facebook.com/Yilber.Saavedra.Neiva/</t>
  </si>
  <si>
    <t>COL-41001-009</t>
  </si>
  <si>
    <t>German Dario Rodriguez Parra</t>
  </si>
  <si>
    <t>Chicho Avanzando Ando</t>
  </si>
  <si>
    <t>COL-41001-003</t>
  </si>
  <si>
    <t>Dagoberto Marin Fernandez</t>
  </si>
  <si>
    <t>COL-41001-005</t>
  </si>
  <si>
    <t>Wilmar Eli Charry Ruiz</t>
  </si>
  <si>
    <t>COL-76520-005</t>
  </si>
  <si>
    <t>Albaro Valencia Collazos</t>
  </si>
  <si>
    <t>COL-76520-002</t>
  </si>
  <si>
    <t>Carlos Alberto Zapata Castaño</t>
  </si>
  <si>
    <t>COL-76520-001</t>
  </si>
  <si>
    <t>Julian David Palacios Obregon</t>
  </si>
  <si>
    <t>COL-76520-006</t>
  </si>
  <si>
    <t>Luis Alfredo Bonilla Quijano</t>
  </si>
  <si>
    <t>COL-76520-010</t>
  </si>
  <si>
    <t>Maritza Isaza Gomez</t>
  </si>
  <si>
    <t>COL-76520-004</t>
  </si>
  <si>
    <t>John Alex Charry Ramirez</t>
  </si>
  <si>
    <t>COL-76520-008</t>
  </si>
  <si>
    <t>Guillermo Gomez Giraldo</t>
  </si>
  <si>
    <t>COL-52001-008</t>
  </si>
  <si>
    <t>Mario Alejandro Viteri Palacios</t>
  </si>
  <si>
    <t>COL-52001-007</t>
  </si>
  <si>
    <t>Jimmy Pedreros Narvaez</t>
  </si>
  <si>
    <t>COL-52001-002</t>
  </si>
  <si>
    <t>Jose Luis Guerra Burbano</t>
  </si>
  <si>
    <t>COL-52001-009</t>
  </si>
  <si>
    <t>Luis Carlos Vallejos Rojas</t>
  </si>
  <si>
    <t>COL-52001-005</t>
  </si>
  <si>
    <t>Jose Efren Achicanoy Achicanoy</t>
  </si>
  <si>
    <t>COL-52001-001</t>
  </si>
  <si>
    <t>Miriam Margoth Martinez Diaz</t>
  </si>
  <si>
    <t>COL-66001-005</t>
  </si>
  <si>
    <t>Diana Yaneth Osorio Bernal</t>
  </si>
  <si>
    <t>COL-66001-002</t>
  </si>
  <si>
    <t>Oscar Cruz Ramirez</t>
  </si>
  <si>
    <t>COL-66001-004</t>
  </si>
  <si>
    <t>William Ospina Osorio</t>
  </si>
  <si>
    <t>COL-68547-010</t>
  </si>
  <si>
    <t>Piedecuesta</t>
  </si>
  <si>
    <t>Oscar Javier Santos Galvis</t>
  </si>
  <si>
    <t>Hagamos Equipo por Piedecuesta</t>
  </si>
  <si>
    <t>Acusado de doble militancia</t>
  </si>
  <si>
    <t>https://www.consejodeestado.gov.co/news/2024/15.4-Mar-2024.php</t>
  </si>
  <si>
    <t>COL-68547-013</t>
  </si>
  <si>
    <t>Jorge Armando Navas Granados</t>
  </si>
  <si>
    <t>Con Seguridad Piedecuesta Avanza</t>
  </si>
  <si>
    <t>COL-68547-002</t>
  </si>
  <si>
    <t>Wilson Gabriel Gonzalez Vargas</t>
  </si>
  <si>
    <t>COL-68547-011</t>
  </si>
  <si>
    <t>Andres Rogerio Ayala Rojas</t>
  </si>
  <si>
    <t>COL-68547-001</t>
  </si>
  <si>
    <t>Eva Carolina Gonzalez Duarte</t>
  </si>
  <si>
    <t>Transformemos Piedecuesta</t>
  </si>
  <si>
    <t>COL-68547-006</t>
  </si>
  <si>
    <t>Eugenia Aguilar Rueda</t>
  </si>
  <si>
    <t>COL-68547-003</t>
  </si>
  <si>
    <t>Yeison Andres Almeyda Espinosa</t>
  </si>
  <si>
    <t>COL-68547-008</t>
  </si>
  <si>
    <t>Junior Elias Correa Vargas</t>
  </si>
  <si>
    <t>COL-68547-012</t>
  </si>
  <si>
    <t>Martha Cecilia Reyes Rueda</t>
  </si>
  <si>
    <t>COL-68547-005</t>
  </si>
  <si>
    <t>David Enrique Valenzuela Gomez</t>
  </si>
  <si>
    <t>COL-68547-004</t>
  </si>
  <si>
    <t>Carlos Andres Osorio Franco</t>
  </si>
  <si>
    <t>COL-68547-007</t>
  </si>
  <si>
    <t>Julian Alberto Diaz Ayala</t>
  </si>
  <si>
    <t>COL-68547-009</t>
  </si>
  <si>
    <t>Edgar Solier Millares Escamilla</t>
  </si>
  <si>
    <t>COL-19001-009</t>
  </si>
  <si>
    <t>Jose Luis Diago Franco</t>
  </si>
  <si>
    <t>https://www.instagram.com/joseluisdiagof</t>
  </si>
  <si>
    <t>https://www.tiktok.com/@joseluisdiagof</t>
  </si>
  <si>
    <t>https://www.facebook.com/joseluisdiagof</t>
  </si>
  <si>
    <t>COL-19001-001</t>
  </si>
  <si>
    <t>Diana Nelly Fuentes Meneses</t>
  </si>
  <si>
    <t>https://www.instagram.com/dianafuentesmeneses</t>
  </si>
  <si>
    <t>https://www.tiktok.com/@dianafuentesmeneses</t>
  </si>
  <si>
    <t>https://www.facebook.com/dianafuentesmeneses1/</t>
  </si>
  <si>
    <t>COL-19001-013</t>
  </si>
  <si>
    <t>Oscar Ospina Quintero</t>
  </si>
  <si>
    <t>COL-19001-012</t>
  </si>
  <si>
    <t>Fabian de Jesus Naranjo Narvaez</t>
  </si>
  <si>
    <t>COL-19001-011</t>
  </si>
  <si>
    <t>Diana Patricia Grueso Zuñiga</t>
  </si>
  <si>
    <t>COL-19001-007</t>
  </si>
  <si>
    <t>Jorge Eliecer Constain Dorado</t>
  </si>
  <si>
    <t>Coalición Despierta Popayán</t>
  </si>
  <si>
    <t>COL-19001-005</t>
  </si>
  <si>
    <t>Pablo Andres Parra Solano</t>
  </si>
  <si>
    <t>COL-19001-004</t>
  </si>
  <si>
    <t>Maria Fernanda Varona Taborda</t>
  </si>
  <si>
    <t>COL-19001-002</t>
  </si>
  <si>
    <t>Juan Francisco Salamanca Anaya</t>
  </si>
  <si>
    <t>COL-19001-008</t>
  </si>
  <si>
    <t>Francisco Javier Pantoja Pantoja</t>
  </si>
  <si>
    <t>COL-19001-006</t>
  </si>
  <si>
    <t>Oyther Manuel Candelo Riascos</t>
  </si>
  <si>
    <t>COL-19001-014</t>
  </si>
  <si>
    <t>Argeny Gomez Lopez</t>
  </si>
  <si>
    <t>COL-19001-003</t>
  </si>
  <si>
    <t>Gustavo Adolfo Martinez Arcos</t>
  </si>
  <si>
    <t>COL-44001-002</t>
  </si>
  <si>
    <t>Juana Lucila Cordero Moscote</t>
  </si>
  <si>
    <t>COL-44001-001</t>
  </si>
  <si>
    <t>Miguel Angel Perez Bernier</t>
  </si>
  <si>
    <t>COL-44001-005</t>
  </si>
  <si>
    <t>Karen Patricia Gomez Avila</t>
  </si>
  <si>
    <t>COL-47001-003</t>
  </si>
  <si>
    <t>Jose Alfredo Ordoñez Gutierrez</t>
  </si>
  <si>
    <t>Santa Marta Tiene Cura</t>
  </si>
  <si>
    <t>https://www.instagram.com/curaordonezsm/reels/</t>
  </si>
  <si>
    <t>COL-47001-004</t>
  </si>
  <si>
    <t>Alfonso Luis Lastra Fuscaldo</t>
  </si>
  <si>
    <t>COL-47001-005</t>
  </si>
  <si>
    <t>Jose Luis Ortega Aponte</t>
  </si>
  <si>
    <t>COL-47001-006</t>
  </si>
  <si>
    <t>Jaris Jesid Gonzalez Moreno</t>
  </si>
  <si>
    <t>Santa Marta Quinto Centenario Corazón del Nuevo Mundo</t>
  </si>
  <si>
    <t>COL-47001-007</t>
  </si>
  <si>
    <t>Hubert Segundo Ramirez Pineda</t>
  </si>
  <si>
    <t>COL-47001-008</t>
  </si>
  <si>
    <t>Ruben Dario Cardona Salamanca</t>
  </si>
  <si>
    <t>COL-47001-009</t>
  </si>
  <si>
    <t>Edgar Santos Romero</t>
  </si>
  <si>
    <t>COL-70001-003</t>
  </si>
  <si>
    <t>Diego Mercado Sanabria</t>
  </si>
  <si>
    <t>https://www.instagram.com/diegomercadosanabria/</t>
  </si>
  <si>
    <t>https://www.facebook.com/DiegoMercadoSanabria/</t>
  </si>
  <si>
    <t>COL-70001-001</t>
  </si>
  <si>
    <t>Aldemar Alfaro Rivero</t>
  </si>
  <si>
    <t>https://www.instagram.com/aldemar_alfaro/</t>
  </si>
  <si>
    <t>https://www.facebook.com/aldemaralfarooficial/?locale=es_LA</t>
  </si>
  <si>
    <t>COL-70001-010</t>
  </si>
  <si>
    <t>Samuel David Alvarez Leon</t>
  </si>
  <si>
    <t>Sincelejo Independiente</t>
  </si>
  <si>
    <t>COL-70001-005</t>
  </si>
  <si>
    <t>Jacobo Quessep Espinosa</t>
  </si>
  <si>
    <t>Rescatemos Sincelejo</t>
  </si>
  <si>
    <t>COL-70001-004</t>
  </si>
  <si>
    <t>Alex Manuel Sierra Paternina</t>
  </si>
  <si>
    <t>COL-70001-009</t>
  </si>
  <si>
    <t>Adolfo Antonio Ordoñez Chadid</t>
  </si>
  <si>
    <t>COL-70001-007</t>
  </si>
  <si>
    <t>Jhon Jairo Turizo Hernandez</t>
  </si>
  <si>
    <t>Pacto por Sincelejo</t>
  </si>
  <si>
    <t>COL-70001-012</t>
  </si>
  <si>
    <t>Numa Rafael Ortiz Fernandez</t>
  </si>
  <si>
    <t>COL-70001-006</t>
  </si>
  <si>
    <t>Felipe Antonio Monterroza Ortega</t>
  </si>
  <si>
    <t>COL-70001-002</t>
  </si>
  <si>
    <t>Eustorgio Elviro Alcocer Rosa</t>
  </si>
  <si>
    <t>COL-70001-013</t>
  </si>
  <si>
    <t>Carlos Enrique Paternina Contreras</t>
  </si>
  <si>
    <t>COL-70001-011</t>
  </si>
  <si>
    <t>Xavier Andres Medina Martinez</t>
  </si>
  <si>
    <t>COL-70001-008</t>
  </si>
  <si>
    <t>Farid Parrado Corredor</t>
  </si>
  <si>
    <t>COL-25754-010</t>
  </si>
  <si>
    <t>Luis Alfonso Agudelo Ibañez</t>
  </si>
  <si>
    <t>COL-25754-002</t>
  </si>
  <si>
    <t>Freddy Alexander Gonzalez Parraga</t>
  </si>
  <si>
    <t>Coalición Ciudadana Amor por Soacha</t>
  </si>
  <si>
    <t>COL-25754-001</t>
  </si>
  <si>
    <t>Jhon Yenifer de Jesus Gonzalez Osorio</t>
  </si>
  <si>
    <t>COL-25754-003</t>
  </si>
  <si>
    <t>Mario Orlando Ballen Triana</t>
  </si>
  <si>
    <t>COL-25754-004</t>
  </si>
  <si>
    <t>Camilo Andres Nemocon Valenzuela</t>
  </si>
  <si>
    <t>Suacha Diferente</t>
  </si>
  <si>
    <t>COL-25754-005</t>
  </si>
  <si>
    <t>Jesus Ochoa Sanchez</t>
  </si>
  <si>
    <t>COL-08433-006</t>
  </si>
  <si>
    <t>Nelson Nicanor Navarro Navarro</t>
  </si>
  <si>
    <t>COL-08433-004</t>
  </si>
  <si>
    <t>Carlos Alberto Ortiz Pacheco</t>
  </si>
  <si>
    <t>COL-08433-002</t>
  </si>
  <si>
    <t>Lidys Isabel Moreno de la Espriella</t>
  </si>
  <si>
    <t>COL-08433-009</t>
  </si>
  <si>
    <t>Oswaldo Rafael Sierra Ochoa</t>
  </si>
  <si>
    <t>COL-08433-011</t>
  </si>
  <si>
    <t>Jaime Eduardo Martinez Gonzalez</t>
  </si>
  <si>
    <t>COL-08433-005</t>
  </si>
  <si>
    <t>Jaiser Mendoza Palacio</t>
  </si>
  <si>
    <t>COL-08433-003</t>
  </si>
  <si>
    <t>Leonardo Rafael Pereira Guerrero</t>
  </si>
  <si>
    <t>COL-08433-010</t>
  </si>
  <si>
    <t>Nyle Jusquini Romero</t>
  </si>
  <si>
    <t>COL-15001-007</t>
  </si>
  <si>
    <t>July Paola Acuña Rincon</t>
  </si>
  <si>
    <t>COL-15001-006</t>
  </si>
  <si>
    <t>Cesar Augusto Lopez Morales</t>
  </si>
  <si>
    <t>Tunja Merece Más</t>
  </si>
  <si>
    <t>COL-15001-005</t>
  </si>
  <si>
    <t>Jonathan Armando Bosigas Malagon</t>
  </si>
  <si>
    <t>COL-15001-004</t>
  </si>
  <si>
    <t>Carlos Enrique Vargas Angarita</t>
  </si>
  <si>
    <t>COL-15001-002</t>
  </si>
  <si>
    <t>Apuleyo Sanabria Vergara</t>
  </si>
  <si>
    <t>COL-15001-003</t>
  </si>
  <si>
    <t>Giovanny Andres Gomez Palomino</t>
  </si>
  <si>
    <t>COL-20001-001</t>
  </si>
  <si>
    <t>Ricardo Elias Reyes Lopez</t>
  </si>
  <si>
    <t>COL-20001-010</t>
  </si>
  <si>
    <t>Maria Isabel Campo Cuello</t>
  </si>
  <si>
    <t>Renacer Vallenato</t>
  </si>
  <si>
    <t>COL-20001-009</t>
  </si>
  <si>
    <t>Ricardo Augusto Vives Fernandez</t>
  </si>
  <si>
    <t>COL-20001-004</t>
  </si>
  <si>
    <t>Alvaro Ernesto Portilla Molina</t>
  </si>
  <si>
    <t>COL-20001-003</t>
  </si>
  <si>
    <t>Darling Francisca Guevara Gomez</t>
  </si>
  <si>
    <t>COL-50001-001</t>
  </si>
  <si>
    <t>Santiago Vargas Serrano</t>
  </si>
  <si>
    <t>COL-50001-013</t>
  </si>
  <si>
    <t>Rodolfo Abelardo Cruz Cruz</t>
  </si>
  <si>
    <t>COL-50001-004</t>
  </si>
  <si>
    <t>Rube Aurora Garcia Sanchez</t>
  </si>
  <si>
    <t>Ruby Alcaldesa</t>
  </si>
  <si>
    <t>COL-50001-009</t>
  </si>
  <si>
    <t>Jacqueline Henao Naranjo</t>
  </si>
  <si>
    <t>COL-50001-007</t>
  </si>
  <si>
    <t>Oscar Armando Alejo Cano</t>
  </si>
  <si>
    <t>Villavo te Necesita</t>
  </si>
  <si>
    <t>COL-50001-011</t>
  </si>
  <si>
    <t>Hector Hugo Lopez Burgos</t>
  </si>
  <si>
    <t>Profe Hugo Lopez Alcalde</t>
  </si>
  <si>
    <t>COL-50001-014</t>
  </si>
  <si>
    <t>Ricardo Gomez Botero</t>
  </si>
  <si>
    <t>COL-50001-012</t>
  </si>
  <si>
    <t>Pablo de la Cruz Almanza</t>
  </si>
  <si>
    <t>COL-50001-002</t>
  </si>
  <si>
    <t>Jeny Johana Mesa Suarez</t>
  </si>
  <si>
    <t>COL-50001-006</t>
  </si>
  <si>
    <t>Walter Manuel Lacharme Narvaez</t>
  </si>
  <si>
    <t>COL-50001-015</t>
  </si>
  <si>
    <t>Alonso Garay Cajamarca</t>
  </si>
  <si>
    <t>COL-50001-010</t>
  </si>
  <si>
    <t>Humberto Zamora Leon</t>
  </si>
  <si>
    <t>Departamento</t>
  </si>
  <si>
    <t>DIVIPOLA</t>
  </si>
  <si>
    <t>Cód</t>
  </si>
  <si>
    <t>Antioquia</t>
  </si>
  <si>
    <t>05045</t>
  </si>
  <si>
    <t>Quindío</t>
  </si>
  <si>
    <t>63001</t>
  </si>
  <si>
    <t>Santander</t>
  </si>
  <si>
    <t>68081</t>
  </si>
  <si>
    <t>Atlántico</t>
  </si>
  <si>
    <t>08001</t>
  </si>
  <si>
    <t>05049</t>
  </si>
  <si>
    <t>11001</t>
  </si>
  <si>
    <t>68001</t>
  </si>
  <si>
    <t>Valle del Cauca</t>
  </si>
  <si>
    <t>76109</t>
  </si>
  <si>
    <t>76001</t>
  </si>
  <si>
    <t>Bolívar</t>
  </si>
  <si>
    <t>13001</t>
  </si>
  <si>
    <t>Norte de Santander</t>
  </si>
  <si>
    <t>54001</t>
  </si>
  <si>
    <t>Risaralda</t>
  </si>
  <si>
    <t>66170</t>
  </si>
  <si>
    <t>05266</t>
  </si>
  <si>
    <t>68276</t>
  </si>
  <si>
    <t>Tolima</t>
  </si>
  <si>
    <t>73001</t>
  </si>
  <si>
    <t>05151</t>
  </si>
  <si>
    <t>Caldas</t>
  </si>
  <si>
    <t>17001</t>
  </si>
  <si>
    <t>05001</t>
  </si>
  <si>
    <t>Córdoba</t>
  </si>
  <si>
    <t>23001</t>
  </si>
  <si>
    <t>Huila</t>
  </si>
  <si>
    <t>41001</t>
  </si>
  <si>
    <t>76520</t>
  </si>
  <si>
    <t>Nariño</t>
  </si>
  <si>
    <t>52001</t>
  </si>
  <si>
    <t>66001</t>
  </si>
  <si>
    <t>68547</t>
  </si>
  <si>
    <t>Cauca</t>
  </si>
  <si>
    <t>19001</t>
  </si>
  <si>
    <t>La Guajira</t>
  </si>
  <si>
    <t>44001</t>
  </si>
  <si>
    <t>Magdalena</t>
  </si>
  <si>
    <t>47001</t>
  </si>
  <si>
    <t>Sucre</t>
  </si>
  <si>
    <t>70001</t>
  </si>
  <si>
    <t>Cundinamarca</t>
  </si>
  <si>
    <t>25754</t>
  </si>
  <si>
    <t>08433</t>
  </si>
  <si>
    <t>Boyacá</t>
  </si>
  <si>
    <t>15001</t>
  </si>
  <si>
    <t>Cesar</t>
  </si>
  <si>
    <t>20001</t>
  </si>
  <si>
    <t>Meta</t>
  </si>
  <si>
    <t>50001</t>
  </si>
  <si>
    <t>Candidatos</t>
  </si>
  <si>
    <t>USD</t>
  </si>
  <si>
    <t>Tiempo (min)</t>
  </si>
  <si>
    <t>Tiempo(hrs)</t>
  </si>
  <si>
    <t>N° Candidatos</t>
  </si>
  <si>
    <t>Total Votos Candidatos</t>
  </si>
  <si>
    <t>Alcalde Electo</t>
  </si>
  <si>
    <t>Partido Ganador</t>
  </si>
  <si>
    <t>Votos Ganador</t>
  </si>
  <si>
    <t>#</t>
  </si>
  <si>
    <t>Población 2023</t>
  </si>
  <si>
    <t>Fuente</t>
  </si>
  <si>
    <t>DANE – Proyecciones de población post-CNPV 2018</t>
  </si>
  <si>
    <t>TOTAL</t>
  </si>
  <si>
    <t>Fuente: Proyecciones de población con actualización post COVID-19, calculadas con base en el Censo Nacional de Población y Vivienda (CNPV) 2018. DANE, Colombia.</t>
  </si>
  <si>
    <t>https://x.com/JorgeAGechem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</si>
</sst>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i/>
      <sz val="9"/>
      <color rgb="FF666666"/>
      <name val="Arial"/>
      <family val="2"/>
    </font>
    <font>
      <u/>
      <sz val="11"/>
      <color theme="10"/>
      <name val="Calibri"/>
      <family val="2"/>
      <scheme val="minor"/>
    </font>
    <font>
      <b/>
      <u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5F5F5"/>
      </patternFill>
    </fill>
    <fill>
      <patternFill patternType="solid">
        <fgColor rgb="FFE2EFDA"/>
      </patternFill>
    </fill>
    <fill>
      <patternFill patternType="solid">
        <fgColor rgb="FF2E4057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5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  <xf numFmtId="3" fontId="2" fillId="3" borderId="1" xfId="0" applyNumberFormat="1" applyFont="1" applyFill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3" fillId="4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center"/>
    </xf>
    <xf numFmtId="3" fontId="3" fillId="4" borderId="1" xfId="0" applyNumberFormat="1" applyFont="1" applyFill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/>
    <xf numFmtId="3" fontId="3" fillId="6" borderId="1" xfId="0" applyNumberFormat="1" applyFont="1" applyFill="1" applyBorder="1" applyAlignment="1">
      <alignment horizontal="right"/>
    </xf>
    <xf numFmtId="2" fontId="0" fillId="0" borderId="0" xfId="0" applyNumberFormat="1"/>
    <xf numFmtId="1" fontId="0" fillId="0" borderId="0" xfId="0" applyNumberFormat="1"/>
    <xf numFmtId="0" fontId="6" fillId="4" borderId="1" xfId="0" applyFont="1" applyFill="1" applyBorder="1" applyAlignment="1">
      <alignment horizontal="center"/>
    </xf>
    <xf numFmtId="0" fontId="4" fillId="0" borderId="0" xfId="0" applyFont="1"/>
    <xf numFmtId="0" fontId="0" fillId="0" borderId="0" xfId="0"/>
    <xf numFmtId="0" fontId="5" fillId="0" borderId="0" xfId="1"/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x.com/JorgeAGeche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1"/>
  <sheetViews>
    <sheetView topLeftCell="F1" workbookViewId="0">
      <pane ySplit="1" topLeftCell="A58" activePane="bottomLeft" state="frozen"/>
      <selection pane="bottomLeft"/>
    </sheetView>
  </sheetViews>
  <sheetFormatPr baseColWidth="10" defaultColWidth="8.7109375" defaultRowHeight="15" x14ac:dyDescent="0.25"/>
  <cols>
    <col min="1" max="2" width="16" customWidth="1"/>
    <col min="3" max="3" width="20" customWidth="1"/>
    <col min="4" max="4" width="10" customWidth="1"/>
    <col min="5" max="5" width="6" customWidth="1"/>
    <col min="6" max="6" width="42" customWidth="1"/>
    <col min="7" max="7" width="46" customWidth="1"/>
    <col min="8" max="8" width="12" customWidth="1"/>
    <col min="9" max="9" width="9" customWidth="1"/>
  </cols>
  <sheetData>
    <row r="1" spans="1:9" ht="32.1" customHeight="1" x14ac:dyDescent="0.25">
      <c r="A1" s="1" t="s">
        <v>0</v>
      </c>
      <c r="B1" s="1" t="s">
        <v>2</v>
      </c>
      <c r="C1" s="1" t="s">
        <v>1351</v>
      </c>
      <c r="D1" s="1" t="s">
        <v>1352</v>
      </c>
      <c r="E1" s="1" t="s">
        <v>1353</v>
      </c>
      <c r="F1" s="1" t="s">
        <v>3</v>
      </c>
      <c r="G1" s="1" t="s">
        <v>4</v>
      </c>
      <c r="H1" s="1" t="s">
        <v>1</v>
      </c>
      <c r="I1" s="1" t="s">
        <v>5</v>
      </c>
    </row>
    <row r="2" spans="1:9" x14ac:dyDescent="0.25">
      <c r="A2" s="2" t="s">
        <v>796</v>
      </c>
      <c r="B2" s="2" t="s">
        <v>14</v>
      </c>
      <c r="C2" s="2" t="s">
        <v>1354</v>
      </c>
      <c r="D2" s="3" t="s">
        <v>1355</v>
      </c>
      <c r="E2" s="3">
        <v>1</v>
      </c>
      <c r="F2" s="2" t="s">
        <v>797</v>
      </c>
      <c r="G2" s="2" t="s">
        <v>743</v>
      </c>
      <c r="H2" s="4">
        <v>1238</v>
      </c>
      <c r="I2" s="3" t="s">
        <v>17</v>
      </c>
    </row>
    <row r="3" spans="1:9" x14ac:dyDescent="0.25">
      <c r="A3" s="5" t="s">
        <v>808</v>
      </c>
      <c r="B3" s="5" t="s">
        <v>14</v>
      </c>
      <c r="C3" s="5" t="s">
        <v>1354</v>
      </c>
      <c r="D3" s="6" t="s">
        <v>1355</v>
      </c>
      <c r="E3" s="6">
        <v>2</v>
      </c>
      <c r="F3" s="5" t="s">
        <v>809</v>
      </c>
      <c r="G3" s="5" t="s">
        <v>119</v>
      </c>
      <c r="H3" s="7">
        <v>146</v>
      </c>
      <c r="I3" s="6" t="s">
        <v>17</v>
      </c>
    </row>
    <row r="4" spans="1:9" x14ac:dyDescent="0.25">
      <c r="A4" s="2" t="s">
        <v>802</v>
      </c>
      <c r="B4" s="2" t="s">
        <v>14</v>
      </c>
      <c r="C4" s="2" t="s">
        <v>1354</v>
      </c>
      <c r="D4" s="3" t="s">
        <v>1355</v>
      </c>
      <c r="E4" s="3">
        <v>3</v>
      </c>
      <c r="F4" s="2" t="s">
        <v>803</v>
      </c>
      <c r="G4" s="2" t="s">
        <v>804</v>
      </c>
      <c r="H4" s="4">
        <v>541</v>
      </c>
      <c r="I4" s="3" t="s">
        <v>17</v>
      </c>
    </row>
    <row r="5" spans="1:9" x14ac:dyDescent="0.25">
      <c r="A5" s="8" t="s">
        <v>277</v>
      </c>
      <c r="B5" s="8" t="s">
        <v>14</v>
      </c>
      <c r="C5" s="8" t="s">
        <v>1354</v>
      </c>
      <c r="D5" s="9" t="s">
        <v>1355</v>
      </c>
      <c r="E5" s="9">
        <v>4</v>
      </c>
      <c r="F5" s="8" t="s">
        <v>278</v>
      </c>
      <c r="G5" s="8" t="s">
        <v>279</v>
      </c>
      <c r="H5" s="10">
        <v>28317</v>
      </c>
      <c r="I5" s="9" t="s">
        <v>33</v>
      </c>
    </row>
    <row r="6" spans="1:9" x14ac:dyDescent="0.25">
      <c r="A6" s="2" t="s">
        <v>13</v>
      </c>
      <c r="B6" s="2" t="s">
        <v>14</v>
      </c>
      <c r="C6" s="2" t="s">
        <v>1354</v>
      </c>
      <c r="D6" s="3" t="s">
        <v>1355</v>
      </c>
      <c r="E6" s="3">
        <v>5</v>
      </c>
      <c r="F6" s="2" t="s">
        <v>15</v>
      </c>
      <c r="G6" s="2" t="s">
        <v>16</v>
      </c>
      <c r="H6" s="4">
        <v>21889</v>
      </c>
      <c r="I6" s="3" t="s">
        <v>17</v>
      </c>
    </row>
    <row r="7" spans="1:9" x14ac:dyDescent="0.25">
      <c r="A7" s="5" t="s">
        <v>798</v>
      </c>
      <c r="B7" s="5" t="s">
        <v>14</v>
      </c>
      <c r="C7" s="5" t="s">
        <v>1354</v>
      </c>
      <c r="D7" s="6" t="s">
        <v>1355</v>
      </c>
      <c r="E7" s="6">
        <v>6</v>
      </c>
      <c r="F7" s="5" t="s">
        <v>799</v>
      </c>
      <c r="G7" s="5" t="s">
        <v>341</v>
      </c>
      <c r="H7" s="7">
        <v>774</v>
      </c>
      <c r="I7" s="6" t="s">
        <v>17</v>
      </c>
    </row>
    <row r="8" spans="1:9" x14ac:dyDescent="0.25">
      <c r="A8" s="2" t="s">
        <v>805</v>
      </c>
      <c r="B8" s="2" t="s">
        <v>14</v>
      </c>
      <c r="C8" s="2" t="s">
        <v>1354</v>
      </c>
      <c r="D8" s="3" t="s">
        <v>1355</v>
      </c>
      <c r="E8" s="3">
        <v>7</v>
      </c>
      <c r="F8" s="2" t="s">
        <v>806</v>
      </c>
      <c r="G8" s="2" t="s">
        <v>807</v>
      </c>
      <c r="H8" s="4">
        <v>352</v>
      </c>
      <c r="I8" s="3" t="s">
        <v>17</v>
      </c>
    </row>
    <row r="9" spans="1:9" x14ac:dyDescent="0.25">
      <c r="A9" s="5" t="s">
        <v>810</v>
      </c>
      <c r="B9" s="5" t="s">
        <v>14</v>
      </c>
      <c r="C9" s="5" t="s">
        <v>1354</v>
      </c>
      <c r="D9" s="6" t="s">
        <v>1355</v>
      </c>
      <c r="E9" s="6">
        <v>8</v>
      </c>
      <c r="F9" s="5" t="s">
        <v>811</v>
      </c>
      <c r="G9" s="5" t="s">
        <v>812</v>
      </c>
      <c r="H9" s="7">
        <v>0</v>
      </c>
      <c r="I9" s="6" t="s">
        <v>17</v>
      </c>
    </row>
    <row r="10" spans="1:9" x14ac:dyDescent="0.25">
      <c r="A10" s="2" t="s">
        <v>813</v>
      </c>
      <c r="B10" s="2" t="s">
        <v>14</v>
      </c>
      <c r="C10" s="2" t="s">
        <v>1354</v>
      </c>
      <c r="D10" s="3" t="s">
        <v>1355</v>
      </c>
      <c r="E10" s="3">
        <v>9</v>
      </c>
      <c r="F10" s="2" t="s">
        <v>814</v>
      </c>
      <c r="G10" s="2" t="s">
        <v>815</v>
      </c>
      <c r="H10" s="4">
        <v>0</v>
      </c>
      <c r="I10" s="3" t="s">
        <v>17</v>
      </c>
    </row>
    <row r="11" spans="1:9" x14ac:dyDescent="0.25">
      <c r="A11" s="5" t="s">
        <v>800</v>
      </c>
      <c r="B11" s="5" t="s">
        <v>14</v>
      </c>
      <c r="C11" s="5" t="s">
        <v>1354</v>
      </c>
      <c r="D11" s="6" t="s">
        <v>1355</v>
      </c>
      <c r="E11" s="6">
        <v>10</v>
      </c>
      <c r="F11" s="5" t="s">
        <v>801</v>
      </c>
      <c r="G11" s="5" t="s">
        <v>494</v>
      </c>
      <c r="H11" s="7">
        <v>579</v>
      </c>
      <c r="I11" s="6" t="s">
        <v>17</v>
      </c>
    </row>
    <row r="12" spans="1:9" x14ac:dyDescent="0.25">
      <c r="A12" s="2" t="s">
        <v>816</v>
      </c>
      <c r="B12" s="2" t="s">
        <v>14</v>
      </c>
      <c r="C12" s="2" t="s">
        <v>1354</v>
      </c>
      <c r="D12" s="3" t="s">
        <v>1355</v>
      </c>
      <c r="E12" s="3">
        <v>11</v>
      </c>
      <c r="F12" s="2" t="s">
        <v>817</v>
      </c>
      <c r="G12" s="2" t="s">
        <v>818</v>
      </c>
      <c r="H12" s="4">
        <v>0</v>
      </c>
      <c r="I12" s="3" t="s">
        <v>17</v>
      </c>
    </row>
    <row r="13" spans="1:9" x14ac:dyDescent="0.25">
      <c r="A13" s="5" t="s">
        <v>848</v>
      </c>
      <c r="B13" s="5" t="s">
        <v>319</v>
      </c>
      <c r="C13" s="5" t="s">
        <v>1356</v>
      </c>
      <c r="D13" s="6" t="s">
        <v>1357</v>
      </c>
      <c r="E13" s="6">
        <v>1</v>
      </c>
      <c r="F13" s="5" t="s">
        <v>849</v>
      </c>
      <c r="G13" s="5" t="s">
        <v>563</v>
      </c>
      <c r="H13" s="7">
        <v>388</v>
      </c>
      <c r="I13" s="6" t="s">
        <v>17</v>
      </c>
    </row>
    <row r="14" spans="1:9" x14ac:dyDescent="0.25">
      <c r="A14" s="2" t="s">
        <v>842</v>
      </c>
      <c r="B14" s="2" t="s">
        <v>319</v>
      </c>
      <c r="C14" s="2" t="s">
        <v>1356</v>
      </c>
      <c r="D14" s="3" t="s">
        <v>1357</v>
      </c>
      <c r="E14" s="3">
        <v>2</v>
      </c>
      <c r="F14" s="2" t="s">
        <v>843</v>
      </c>
      <c r="G14" s="2" t="s">
        <v>815</v>
      </c>
      <c r="H14" s="4">
        <v>1503</v>
      </c>
      <c r="I14" s="3" t="s">
        <v>17</v>
      </c>
    </row>
    <row r="15" spans="1:9" x14ac:dyDescent="0.25">
      <c r="A15" s="5" t="s">
        <v>734</v>
      </c>
      <c r="B15" s="5" t="s">
        <v>319</v>
      </c>
      <c r="C15" s="5" t="s">
        <v>1356</v>
      </c>
      <c r="D15" s="6" t="s">
        <v>1357</v>
      </c>
      <c r="E15" s="6">
        <v>3</v>
      </c>
      <c r="F15" s="5" t="s">
        <v>735</v>
      </c>
      <c r="G15" s="5" t="s">
        <v>736</v>
      </c>
      <c r="H15" s="7">
        <v>11674</v>
      </c>
      <c r="I15" s="6" t="s">
        <v>17</v>
      </c>
    </row>
    <row r="16" spans="1:9" x14ac:dyDescent="0.25">
      <c r="A16" s="2" t="s">
        <v>828</v>
      </c>
      <c r="B16" s="2" t="s">
        <v>319</v>
      </c>
      <c r="C16" s="2" t="s">
        <v>1356</v>
      </c>
      <c r="D16" s="3" t="s">
        <v>1357</v>
      </c>
      <c r="E16" s="3">
        <v>4</v>
      </c>
      <c r="F16" s="2" t="s">
        <v>829</v>
      </c>
      <c r="G16" s="2" t="s">
        <v>830</v>
      </c>
      <c r="H16" s="4">
        <v>9436</v>
      </c>
      <c r="I16" s="3" t="s">
        <v>17</v>
      </c>
    </row>
    <row r="17" spans="1:9" x14ac:dyDescent="0.25">
      <c r="A17" s="5" t="s">
        <v>838</v>
      </c>
      <c r="B17" s="5" t="s">
        <v>319</v>
      </c>
      <c r="C17" s="5" t="s">
        <v>1356</v>
      </c>
      <c r="D17" s="6" t="s">
        <v>1357</v>
      </c>
      <c r="E17" s="6">
        <v>5</v>
      </c>
      <c r="F17" s="5" t="s">
        <v>839</v>
      </c>
      <c r="G17" s="5" t="s">
        <v>206</v>
      </c>
      <c r="H17" s="7">
        <v>1928</v>
      </c>
      <c r="I17" s="6" t="s">
        <v>17</v>
      </c>
    </row>
    <row r="18" spans="1:9" x14ac:dyDescent="0.25">
      <c r="A18" s="2" t="s">
        <v>833</v>
      </c>
      <c r="B18" s="2" t="s">
        <v>319</v>
      </c>
      <c r="C18" s="2" t="s">
        <v>1356</v>
      </c>
      <c r="D18" s="3" t="s">
        <v>1357</v>
      </c>
      <c r="E18" s="3">
        <v>6</v>
      </c>
      <c r="F18" s="2" t="s">
        <v>834</v>
      </c>
      <c r="G18" s="2" t="s">
        <v>835</v>
      </c>
      <c r="H18" s="4">
        <v>5135</v>
      </c>
      <c r="I18" s="3" t="s">
        <v>17</v>
      </c>
    </row>
    <row r="19" spans="1:9" x14ac:dyDescent="0.25">
      <c r="A19" s="5" t="s">
        <v>831</v>
      </c>
      <c r="B19" s="5" t="s">
        <v>319</v>
      </c>
      <c r="C19" s="5" t="s">
        <v>1356</v>
      </c>
      <c r="D19" s="6" t="s">
        <v>1357</v>
      </c>
      <c r="E19" s="6">
        <v>7</v>
      </c>
      <c r="F19" s="5" t="s">
        <v>832</v>
      </c>
      <c r="G19" s="5" t="s">
        <v>743</v>
      </c>
      <c r="H19" s="7">
        <v>7569</v>
      </c>
      <c r="I19" s="6" t="s">
        <v>17</v>
      </c>
    </row>
    <row r="20" spans="1:9" x14ac:dyDescent="0.25">
      <c r="A20" s="2" t="s">
        <v>844</v>
      </c>
      <c r="B20" s="2" t="s">
        <v>319</v>
      </c>
      <c r="C20" s="2" t="s">
        <v>1356</v>
      </c>
      <c r="D20" s="3" t="s">
        <v>1357</v>
      </c>
      <c r="E20" s="3">
        <v>8</v>
      </c>
      <c r="F20" s="2" t="s">
        <v>845</v>
      </c>
      <c r="G20" s="2" t="s">
        <v>214</v>
      </c>
      <c r="H20" s="4">
        <v>983</v>
      </c>
      <c r="I20" s="3" t="s">
        <v>17</v>
      </c>
    </row>
    <row r="21" spans="1:9" x14ac:dyDescent="0.25">
      <c r="A21" s="5" t="s">
        <v>836</v>
      </c>
      <c r="B21" s="5" t="s">
        <v>319</v>
      </c>
      <c r="C21" s="5" t="s">
        <v>1356</v>
      </c>
      <c r="D21" s="6" t="s">
        <v>1357</v>
      </c>
      <c r="E21" s="6">
        <v>9</v>
      </c>
      <c r="F21" s="5" t="s">
        <v>837</v>
      </c>
      <c r="G21" s="5" t="s">
        <v>199</v>
      </c>
      <c r="H21" s="7">
        <v>2516</v>
      </c>
      <c r="I21" s="6" t="s">
        <v>17</v>
      </c>
    </row>
    <row r="22" spans="1:9" x14ac:dyDescent="0.25">
      <c r="A22" s="2" t="s">
        <v>825</v>
      </c>
      <c r="B22" s="2" t="s">
        <v>319</v>
      </c>
      <c r="C22" s="2" t="s">
        <v>1356</v>
      </c>
      <c r="D22" s="3" t="s">
        <v>1357</v>
      </c>
      <c r="E22" s="3">
        <v>10</v>
      </c>
      <c r="F22" s="2" t="s">
        <v>826</v>
      </c>
      <c r="G22" s="2" t="s">
        <v>827</v>
      </c>
      <c r="H22" s="4">
        <v>10996</v>
      </c>
      <c r="I22" s="3" t="s">
        <v>17</v>
      </c>
    </row>
    <row r="23" spans="1:9" x14ac:dyDescent="0.25">
      <c r="A23" s="5" t="s">
        <v>840</v>
      </c>
      <c r="B23" s="5" t="s">
        <v>319</v>
      </c>
      <c r="C23" s="5" t="s">
        <v>1356</v>
      </c>
      <c r="D23" s="6" t="s">
        <v>1357</v>
      </c>
      <c r="E23" s="6">
        <v>11</v>
      </c>
      <c r="F23" s="5" t="s">
        <v>841</v>
      </c>
      <c r="G23" s="5" t="s">
        <v>382</v>
      </c>
      <c r="H23" s="7">
        <v>1914</v>
      </c>
      <c r="I23" s="6" t="s">
        <v>17</v>
      </c>
    </row>
    <row r="24" spans="1:9" x14ac:dyDescent="0.25">
      <c r="A24" s="2" t="s">
        <v>846</v>
      </c>
      <c r="B24" s="2" t="s">
        <v>319</v>
      </c>
      <c r="C24" s="2" t="s">
        <v>1356</v>
      </c>
      <c r="D24" s="3" t="s">
        <v>1357</v>
      </c>
      <c r="E24" s="3">
        <v>12</v>
      </c>
      <c r="F24" s="2" t="s">
        <v>847</v>
      </c>
      <c r="G24" s="2" t="s">
        <v>807</v>
      </c>
      <c r="H24" s="4">
        <v>698</v>
      </c>
      <c r="I24" s="3" t="s">
        <v>17</v>
      </c>
    </row>
    <row r="25" spans="1:9" x14ac:dyDescent="0.25">
      <c r="A25" s="8" t="s">
        <v>318</v>
      </c>
      <c r="B25" s="8" t="s">
        <v>319</v>
      </c>
      <c r="C25" s="8" t="s">
        <v>1356</v>
      </c>
      <c r="D25" s="9" t="s">
        <v>1357</v>
      </c>
      <c r="E25" s="9">
        <v>13</v>
      </c>
      <c r="F25" s="8" t="s">
        <v>320</v>
      </c>
      <c r="G25" s="8" t="s">
        <v>321</v>
      </c>
      <c r="H25" s="10">
        <v>35703</v>
      </c>
      <c r="I25" s="9" t="s">
        <v>33</v>
      </c>
    </row>
    <row r="26" spans="1:9" x14ac:dyDescent="0.25">
      <c r="A26" s="2" t="s">
        <v>819</v>
      </c>
      <c r="B26" s="2" t="s">
        <v>319</v>
      </c>
      <c r="C26" s="2" t="s">
        <v>1356</v>
      </c>
      <c r="D26" s="3" t="s">
        <v>1357</v>
      </c>
      <c r="E26" s="3">
        <v>14</v>
      </c>
      <c r="F26" s="2" t="s">
        <v>820</v>
      </c>
      <c r="G26" s="2" t="s">
        <v>821</v>
      </c>
      <c r="H26" s="4">
        <v>26687</v>
      </c>
      <c r="I26" s="3" t="s">
        <v>17</v>
      </c>
    </row>
    <row r="27" spans="1:9" x14ac:dyDescent="0.25">
      <c r="A27" s="5" t="s">
        <v>861</v>
      </c>
      <c r="B27" s="5" t="s">
        <v>125</v>
      </c>
      <c r="C27" s="5" t="s">
        <v>1358</v>
      </c>
      <c r="D27" s="6" t="s">
        <v>1359</v>
      </c>
      <c r="E27" s="6">
        <v>1</v>
      </c>
      <c r="F27" s="5" t="s">
        <v>862</v>
      </c>
      <c r="G27" s="5" t="s">
        <v>382</v>
      </c>
      <c r="H27" s="7">
        <v>411</v>
      </c>
      <c r="I27" s="6" t="s">
        <v>17</v>
      </c>
    </row>
    <row r="28" spans="1:9" x14ac:dyDescent="0.25">
      <c r="A28" s="2" t="s">
        <v>854</v>
      </c>
      <c r="B28" s="2" t="s">
        <v>125</v>
      </c>
      <c r="C28" s="2" t="s">
        <v>1358</v>
      </c>
      <c r="D28" s="3" t="s">
        <v>1359</v>
      </c>
      <c r="E28" s="3">
        <v>2</v>
      </c>
      <c r="F28" s="2" t="s">
        <v>855</v>
      </c>
      <c r="G28" s="2" t="s">
        <v>856</v>
      </c>
      <c r="H28" s="4">
        <v>1000</v>
      </c>
      <c r="I28" s="3" t="s">
        <v>17</v>
      </c>
    </row>
    <row r="29" spans="1:9" x14ac:dyDescent="0.25">
      <c r="A29" s="5" t="s">
        <v>124</v>
      </c>
      <c r="B29" s="5" t="s">
        <v>125</v>
      </c>
      <c r="C29" s="5" t="s">
        <v>1358</v>
      </c>
      <c r="D29" s="6" t="s">
        <v>1359</v>
      </c>
      <c r="E29" s="6">
        <v>3</v>
      </c>
      <c r="F29" s="5" t="s">
        <v>126</v>
      </c>
      <c r="G29" s="5" t="s">
        <v>127</v>
      </c>
      <c r="H29" s="7">
        <v>15779</v>
      </c>
      <c r="I29" s="6" t="s">
        <v>17</v>
      </c>
    </row>
    <row r="30" spans="1:9" x14ac:dyDescent="0.25">
      <c r="A30" s="2" t="s">
        <v>852</v>
      </c>
      <c r="B30" s="2" t="s">
        <v>125</v>
      </c>
      <c r="C30" s="2" t="s">
        <v>1358</v>
      </c>
      <c r="D30" s="3" t="s">
        <v>1359</v>
      </c>
      <c r="E30" s="3">
        <v>4</v>
      </c>
      <c r="F30" s="2" t="s">
        <v>853</v>
      </c>
      <c r="G30" s="2" t="s">
        <v>812</v>
      </c>
      <c r="H30" s="4">
        <v>1020</v>
      </c>
      <c r="I30" s="3" t="s">
        <v>17</v>
      </c>
    </row>
    <row r="31" spans="1:9" x14ac:dyDescent="0.25">
      <c r="A31" s="8" t="s">
        <v>421</v>
      </c>
      <c r="B31" s="8" t="s">
        <v>125</v>
      </c>
      <c r="C31" s="8" t="s">
        <v>1358</v>
      </c>
      <c r="D31" s="9" t="s">
        <v>1359</v>
      </c>
      <c r="E31" s="9">
        <v>5</v>
      </c>
      <c r="F31" s="8" t="s">
        <v>422</v>
      </c>
      <c r="G31" s="8" t="s">
        <v>423</v>
      </c>
      <c r="H31" s="10">
        <v>72593</v>
      </c>
      <c r="I31" s="9" t="s">
        <v>33</v>
      </c>
    </row>
    <row r="32" spans="1:9" x14ac:dyDescent="0.25">
      <c r="A32" s="2" t="s">
        <v>189</v>
      </c>
      <c r="B32" s="2" t="s">
        <v>125</v>
      </c>
      <c r="C32" s="2" t="s">
        <v>1358</v>
      </c>
      <c r="D32" s="3" t="s">
        <v>1359</v>
      </c>
      <c r="E32" s="3">
        <v>6</v>
      </c>
      <c r="F32" s="2" t="s">
        <v>190</v>
      </c>
      <c r="G32" s="2" t="s">
        <v>191</v>
      </c>
      <c r="H32" s="4">
        <v>28025</v>
      </c>
      <c r="I32" s="3" t="s">
        <v>17</v>
      </c>
    </row>
    <row r="33" spans="1:9" x14ac:dyDescent="0.25">
      <c r="A33" s="5" t="s">
        <v>857</v>
      </c>
      <c r="B33" s="5" t="s">
        <v>125</v>
      </c>
      <c r="C33" s="5" t="s">
        <v>1358</v>
      </c>
      <c r="D33" s="6" t="s">
        <v>1359</v>
      </c>
      <c r="E33" s="6">
        <v>7</v>
      </c>
      <c r="F33" s="5" t="s">
        <v>858</v>
      </c>
      <c r="G33" s="5" t="s">
        <v>206</v>
      </c>
      <c r="H33" s="7">
        <v>639</v>
      </c>
      <c r="I33" s="6" t="s">
        <v>17</v>
      </c>
    </row>
    <row r="34" spans="1:9" x14ac:dyDescent="0.25">
      <c r="A34" s="2" t="s">
        <v>863</v>
      </c>
      <c r="B34" s="2" t="s">
        <v>125</v>
      </c>
      <c r="C34" s="2" t="s">
        <v>1358</v>
      </c>
      <c r="D34" s="3" t="s">
        <v>1359</v>
      </c>
      <c r="E34" s="3">
        <v>8</v>
      </c>
      <c r="F34" s="2" t="s">
        <v>864</v>
      </c>
      <c r="G34" s="2" t="s">
        <v>235</v>
      </c>
      <c r="H34" s="4">
        <v>361</v>
      </c>
      <c r="I34" s="3" t="s">
        <v>17</v>
      </c>
    </row>
    <row r="35" spans="1:9" x14ac:dyDescent="0.25">
      <c r="A35" s="5" t="s">
        <v>859</v>
      </c>
      <c r="B35" s="5" t="s">
        <v>125</v>
      </c>
      <c r="C35" s="5" t="s">
        <v>1358</v>
      </c>
      <c r="D35" s="6" t="s">
        <v>1359</v>
      </c>
      <c r="E35" s="6">
        <v>9</v>
      </c>
      <c r="F35" s="5" t="s">
        <v>860</v>
      </c>
      <c r="G35" s="5" t="s">
        <v>214</v>
      </c>
      <c r="H35" s="7">
        <v>614</v>
      </c>
      <c r="I35" s="6" t="s">
        <v>17</v>
      </c>
    </row>
    <row r="36" spans="1:9" x14ac:dyDescent="0.25">
      <c r="A36" s="2" t="s">
        <v>850</v>
      </c>
      <c r="B36" s="2" t="s">
        <v>125</v>
      </c>
      <c r="C36" s="2" t="s">
        <v>1358</v>
      </c>
      <c r="D36" s="3" t="s">
        <v>1359</v>
      </c>
      <c r="E36" s="3">
        <v>10</v>
      </c>
      <c r="F36" s="2" t="s">
        <v>851</v>
      </c>
      <c r="G36" s="2" t="s">
        <v>743</v>
      </c>
      <c r="H36" s="4">
        <v>2740</v>
      </c>
      <c r="I36" s="3" t="s">
        <v>17</v>
      </c>
    </row>
    <row r="37" spans="1:9" x14ac:dyDescent="0.25">
      <c r="A37" s="5" t="s">
        <v>867</v>
      </c>
      <c r="B37" s="5" t="s">
        <v>125</v>
      </c>
      <c r="C37" s="5" t="s">
        <v>1358</v>
      </c>
      <c r="D37" s="6" t="s">
        <v>1359</v>
      </c>
      <c r="E37" s="6">
        <v>11</v>
      </c>
      <c r="F37" s="5" t="s">
        <v>868</v>
      </c>
      <c r="G37" s="5" t="s">
        <v>815</v>
      </c>
      <c r="H37" s="7">
        <v>68</v>
      </c>
      <c r="I37" s="6" t="s">
        <v>17</v>
      </c>
    </row>
    <row r="38" spans="1:9" x14ac:dyDescent="0.25">
      <c r="A38" s="2" t="s">
        <v>865</v>
      </c>
      <c r="B38" s="2" t="s">
        <v>125</v>
      </c>
      <c r="C38" s="2" t="s">
        <v>1358</v>
      </c>
      <c r="D38" s="3" t="s">
        <v>1359</v>
      </c>
      <c r="E38" s="3">
        <v>12</v>
      </c>
      <c r="F38" s="2" t="s">
        <v>866</v>
      </c>
      <c r="G38" s="2" t="s">
        <v>341</v>
      </c>
      <c r="H38" s="4">
        <v>133</v>
      </c>
      <c r="I38" s="3" t="s">
        <v>17</v>
      </c>
    </row>
    <row r="39" spans="1:9" x14ac:dyDescent="0.25">
      <c r="A39" s="5" t="s">
        <v>873</v>
      </c>
      <c r="B39" s="5" t="s">
        <v>39</v>
      </c>
      <c r="C39" s="5" t="s">
        <v>1360</v>
      </c>
      <c r="D39" s="6" t="s">
        <v>1361</v>
      </c>
      <c r="E39" s="6">
        <v>1</v>
      </c>
      <c r="F39" s="5" t="s">
        <v>874</v>
      </c>
      <c r="G39" s="5" t="s">
        <v>875</v>
      </c>
      <c r="H39" s="7">
        <v>7790</v>
      </c>
      <c r="I39" s="6" t="s">
        <v>17</v>
      </c>
    </row>
    <row r="40" spans="1:9" x14ac:dyDescent="0.25">
      <c r="A40" s="8" t="s">
        <v>38</v>
      </c>
      <c r="B40" s="8" t="s">
        <v>39</v>
      </c>
      <c r="C40" s="8" t="s">
        <v>1360</v>
      </c>
      <c r="D40" s="9" t="s">
        <v>1361</v>
      </c>
      <c r="E40" s="9">
        <v>2</v>
      </c>
      <c r="F40" s="8" t="s">
        <v>40</v>
      </c>
      <c r="G40" s="8" t="s">
        <v>41</v>
      </c>
      <c r="H40" s="10">
        <v>417644</v>
      </c>
      <c r="I40" s="9" t="s">
        <v>33</v>
      </c>
    </row>
    <row r="41" spans="1:9" x14ac:dyDescent="0.25">
      <c r="A41" s="5" t="s">
        <v>876</v>
      </c>
      <c r="B41" s="5" t="s">
        <v>39</v>
      </c>
      <c r="C41" s="5" t="s">
        <v>1360</v>
      </c>
      <c r="D41" s="6" t="s">
        <v>1361</v>
      </c>
      <c r="E41" s="6">
        <v>3</v>
      </c>
      <c r="F41" s="5" t="s">
        <v>877</v>
      </c>
      <c r="G41" s="5" t="s">
        <v>878</v>
      </c>
      <c r="H41" s="7">
        <v>7659</v>
      </c>
      <c r="I41" s="6" t="s">
        <v>17</v>
      </c>
    </row>
    <row r="42" spans="1:9" x14ac:dyDescent="0.25">
      <c r="A42" s="2" t="s">
        <v>879</v>
      </c>
      <c r="B42" s="2" t="s">
        <v>39</v>
      </c>
      <c r="C42" s="2" t="s">
        <v>1360</v>
      </c>
      <c r="D42" s="3" t="s">
        <v>1361</v>
      </c>
      <c r="E42" s="3">
        <v>4</v>
      </c>
      <c r="F42" s="2" t="s">
        <v>880</v>
      </c>
      <c r="G42" s="2" t="s">
        <v>563</v>
      </c>
      <c r="H42" s="4">
        <v>4874</v>
      </c>
      <c r="I42" s="3" t="s">
        <v>17</v>
      </c>
    </row>
    <row r="43" spans="1:9" x14ac:dyDescent="0.25">
      <c r="A43" s="5" t="s">
        <v>78</v>
      </c>
      <c r="B43" s="5" t="s">
        <v>39</v>
      </c>
      <c r="C43" s="5" t="s">
        <v>1360</v>
      </c>
      <c r="D43" s="6" t="s">
        <v>1361</v>
      </c>
      <c r="E43" s="6">
        <v>5</v>
      </c>
      <c r="F43" s="5" t="s">
        <v>79</v>
      </c>
      <c r="G43" s="5" t="s">
        <v>80</v>
      </c>
      <c r="H43" s="7">
        <v>53144</v>
      </c>
      <c r="I43" s="6" t="s">
        <v>17</v>
      </c>
    </row>
    <row r="44" spans="1:9" x14ac:dyDescent="0.25">
      <c r="A44" s="2" t="s">
        <v>869</v>
      </c>
      <c r="B44" s="2" t="s">
        <v>39</v>
      </c>
      <c r="C44" s="2" t="s">
        <v>1360</v>
      </c>
      <c r="D44" s="3" t="s">
        <v>1361</v>
      </c>
      <c r="E44" s="3">
        <v>6</v>
      </c>
      <c r="F44" s="2" t="s">
        <v>870</v>
      </c>
      <c r="G44" s="2" t="s">
        <v>206</v>
      </c>
      <c r="H44" s="4">
        <v>19052</v>
      </c>
      <c r="I44" s="3" t="s">
        <v>17</v>
      </c>
    </row>
    <row r="45" spans="1:9" x14ac:dyDescent="0.25">
      <c r="A45" s="5" t="s">
        <v>881</v>
      </c>
      <c r="B45" s="5" t="s">
        <v>500</v>
      </c>
      <c r="C45" s="5" t="s">
        <v>1354</v>
      </c>
      <c r="D45" s="6" t="s">
        <v>1362</v>
      </c>
      <c r="E45" s="6">
        <v>1</v>
      </c>
      <c r="F45" s="5" t="s">
        <v>882</v>
      </c>
      <c r="G45" s="5" t="s">
        <v>660</v>
      </c>
      <c r="H45" s="7">
        <v>11226</v>
      </c>
      <c r="I45" s="6" t="s">
        <v>17</v>
      </c>
    </row>
    <row r="46" spans="1:9" x14ac:dyDescent="0.25">
      <c r="A46" s="2" t="s">
        <v>886</v>
      </c>
      <c r="B46" s="2" t="s">
        <v>500</v>
      </c>
      <c r="C46" s="2" t="s">
        <v>1354</v>
      </c>
      <c r="D46" s="3" t="s">
        <v>1362</v>
      </c>
      <c r="E46" s="3">
        <v>2</v>
      </c>
      <c r="F46" s="2" t="s">
        <v>887</v>
      </c>
      <c r="G46" s="2" t="s">
        <v>119</v>
      </c>
      <c r="H46" s="4">
        <v>4439</v>
      </c>
      <c r="I46" s="3" t="s">
        <v>17</v>
      </c>
    </row>
    <row r="47" spans="1:9" x14ac:dyDescent="0.25">
      <c r="A47" s="8" t="s">
        <v>499</v>
      </c>
      <c r="B47" s="8" t="s">
        <v>500</v>
      </c>
      <c r="C47" s="8" t="s">
        <v>1354</v>
      </c>
      <c r="D47" s="9" t="s">
        <v>1362</v>
      </c>
      <c r="E47" s="9">
        <v>3</v>
      </c>
      <c r="F47" s="8" t="s">
        <v>501</v>
      </c>
      <c r="G47" s="8" t="s">
        <v>502</v>
      </c>
      <c r="H47" s="10">
        <v>64022</v>
      </c>
      <c r="I47" s="9" t="s">
        <v>33</v>
      </c>
    </row>
    <row r="48" spans="1:9" x14ac:dyDescent="0.25">
      <c r="A48" s="2" t="s">
        <v>890</v>
      </c>
      <c r="B48" s="2" t="s">
        <v>500</v>
      </c>
      <c r="C48" s="2" t="s">
        <v>1354</v>
      </c>
      <c r="D48" s="3" t="s">
        <v>1362</v>
      </c>
      <c r="E48" s="3">
        <v>4</v>
      </c>
      <c r="F48" s="2" t="s">
        <v>891</v>
      </c>
      <c r="G48" s="2" t="s">
        <v>206</v>
      </c>
      <c r="H48" s="4">
        <v>1562</v>
      </c>
      <c r="I48" s="3" t="s">
        <v>17</v>
      </c>
    </row>
    <row r="49" spans="1:9" x14ac:dyDescent="0.25">
      <c r="A49" s="5" t="s">
        <v>884</v>
      </c>
      <c r="B49" s="5" t="s">
        <v>500</v>
      </c>
      <c r="C49" s="5" t="s">
        <v>1354</v>
      </c>
      <c r="D49" s="6" t="s">
        <v>1362</v>
      </c>
      <c r="E49" s="6">
        <v>5</v>
      </c>
      <c r="F49" s="5" t="s">
        <v>885</v>
      </c>
      <c r="G49" s="5" t="s">
        <v>155</v>
      </c>
      <c r="H49" s="7">
        <v>7457</v>
      </c>
      <c r="I49" s="6" t="s">
        <v>17</v>
      </c>
    </row>
    <row r="50" spans="1:9" x14ac:dyDescent="0.25">
      <c r="A50" s="2" t="s">
        <v>892</v>
      </c>
      <c r="B50" s="2" t="s">
        <v>500</v>
      </c>
      <c r="C50" s="2" t="s">
        <v>1354</v>
      </c>
      <c r="D50" s="3" t="s">
        <v>1362</v>
      </c>
      <c r="E50" s="3">
        <v>6</v>
      </c>
      <c r="F50" s="2" t="s">
        <v>893</v>
      </c>
      <c r="G50" s="2" t="s">
        <v>750</v>
      </c>
      <c r="H50" s="4">
        <v>684</v>
      </c>
      <c r="I50" s="3" t="s">
        <v>17</v>
      </c>
    </row>
    <row r="51" spans="1:9" x14ac:dyDescent="0.25">
      <c r="A51" s="5" t="s">
        <v>888</v>
      </c>
      <c r="B51" s="5" t="s">
        <v>500</v>
      </c>
      <c r="C51" s="5" t="s">
        <v>1354</v>
      </c>
      <c r="D51" s="6" t="s">
        <v>1362</v>
      </c>
      <c r="E51" s="6">
        <v>7</v>
      </c>
      <c r="F51" s="5" t="s">
        <v>889</v>
      </c>
      <c r="G51" s="5" t="s">
        <v>694</v>
      </c>
      <c r="H51" s="7">
        <v>2035</v>
      </c>
      <c r="I51" s="6" t="s">
        <v>17</v>
      </c>
    </row>
    <row r="52" spans="1:9" x14ac:dyDescent="0.25">
      <c r="A52" s="2" t="s">
        <v>582</v>
      </c>
      <c r="B52" s="2" t="s">
        <v>500</v>
      </c>
      <c r="C52" s="2" t="s">
        <v>1354</v>
      </c>
      <c r="D52" s="3" t="s">
        <v>1362</v>
      </c>
      <c r="E52" s="3">
        <v>8</v>
      </c>
      <c r="F52" s="2" t="s">
        <v>583</v>
      </c>
      <c r="G52" s="2" t="s">
        <v>584</v>
      </c>
      <c r="H52" s="4">
        <v>56635</v>
      </c>
      <c r="I52" s="3" t="s">
        <v>17</v>
      </c>
    </row>
    <row r="53" spans="1:9" x14ac:dyDescent="0.25">
      <c r="A53" s="5" t="s">
        <v>894</v>
      </c>
      <c r="B53" s="5" t="s">
        <v>500</v>
      </c>
      <c r="C53" s="5" t="s">
        <v>1354</v>
      </c>
      <c r="D53" s="6" t="s">
        <v>1362</v>
      </c>
      <c r="E53" s="6">
        <v>9</v>
      </c>
      <c r="F53" s="5" t="s">
        <v>895</v>
      </c>
      <c r="G53" s="5" t="s">
        <v>896</v>
      </c>
      <c r="H53" s="7">
        <v>348</v>
      </c>
      <c r="I53" s="6" t="s">
        <v>17</v>
      </c>
    </row>
    <row r="54" spans="1:9" x14ac:dyDescent="0.25">
      <c r="A54" s="2" t="s">
        <v>183</v>
      </c>
      <c r="B54" s="2" t="s">
        <v>94</v>
      </c>
      <c r="C54" s="2" t="s">
        <v>94</v>
      </c>
      <c r="D54" s="3" t="s">
        <v>1363</v>
      </c>
      <c r="E54" s="3">
        <v>1</v>
      </c>
      <c r="F54" s="2" t="s">
        <v>184</v>
      </c>
      <c r="G54" s="2" t="s">
        <v>41</v>
      </c>
      <c r="H54" s="4">
        <v>31153</v>
      </c>
      <c r="I54" s="3" t="s">
        <v>17</v>
      </c>
    </row>
    <row r="55" spans="1:9" x14ac:dyDescent="0.25">
      <c r="A55" s="5" t="s">
        <v>160</v>
      </c>
      <c r="B55" s="5" t="s">
        <v>94</v>
      </c>
      <c r="C55" s="5" t="s">
        <v>94</v>
      </c>
      <c r="D55" s="6" t="s">
        <v>1363</v>
      </c>
      <c r="E55" s="6">
        <v>2</v>
      </c>
      <c r="F55" s="5" t="s">
        <v>161</v>
      </c>
      <c r="G55" s="5" t="s">
        <v>162</v>
      </c>
      <c r="H55" s="7">
        <v>65681</v>
      </c>
      <c r="I55" s="6" t="s">
        <v>17</v>
      </c>
    </row>
    <row r="56" spans="1:9" x14ac:dyDescent="0.25">
      <c r="A56" s="2" t="s">
        <v>685</v>
      </c>
      <c r="B56" s="2" t="s">
        <v>94</v>
      </c>
      <c r="C56" s="2" t="s">
        <v>94</v>
      </c>
      <c r="D56" s="3" t="s">
        <v>1363</v>
      </c>
      <c r="E56" s="3">
        <v>3</v>
      </c>
      <c r="F56" s="2" t="s">
        <v>686</v>
      </c>
      <c r="G56" s="2" t="s">
        <v>687</v>
      </c>
      <c r="H56" s="4">
        <v>69639</v>
      </c>
      <c r="I56" s="3" t="s">
        <v>17</v>
      </c>
    </row>
    <row r="57" spans="1:9" x14ac:dyDescent="0.25">
      <c r="A57" s="5" t="s">
        <v>589</v>
      </c>
      <c r="B57" s="5" t="s">
        <v>94</v>
      </c>
      <c r="C57" s="5" t="s">
        <v>94</v>
      </c>
      <c r="D57" s="6" t="s">
        <v>1363</v>
      </c>
      <c r="E57" s="6">
        <v>4</v>
      </c>
      <c r="F57" s="5" t="s">
        <v>590</v>
      </c>
      <c r="G57" s="5" t="s">
        <v>591</v>
      </c>
      <c r="H57" s="7">
        <v>14855</v>
      </c>
      <c r="I57" s="6" t="s">
        <v>17</v>
      </c>
    </row>
    <row r="58" spans="1:9" x14ac:dyDescent="0.25">
      <c r="A58" s="8" t="s">
        <v>93</v>
      </c>
      <c r="B58" s="8" t="s">
        <v>94</v>
      </c>
      <c r="C58" s="8" t="s">
        <v>94</v>
      </c>
      <c r="D58" s="9" t="s">
        <v>1363</v>
      </c>
      <c r="E58" s="9">
        <v>5</v>
      </c>
      <c r="F58" s="8" t="s">
        <v>95</v>
      </c>
      <c r="G58" s="8" t="s">
        <v>96</v>
      </c>
      <c r="H58" s="10">
        <v>1499734</v>
      </c>
      <c r="I58" s="9" t="s">
        <v>33</v>
      </c>
    </row>
    <row r="59" spans="1:9" x14ac:dyDescent="0.25">
      <c r="A59" s="5" t="s">
        <v>262</v>
      </c>
      <c r="B59" s="5" t="s">
        <v>94</v>
      </c>
      <c r="C59" s="5" t="s">
        <v>94</v>
      </c>
      <c r="D59" s="6" t="s">
        <v>1363</v>
      </c>
      <c r="E59" s="6">
        <v>6</v>
      </c>
      <c r="F59" s="5" t="s">
        <v>263</v>
      </c>
      <c r="G59" s="5" t="s">
        <v>264</v>
      </c>
      <c r="H59" s="7">
        <v>571948</v>
      </c>
      <c r="I59" s="6" t="s">
        <v>17</v>
      </c>
    </row>
    <row r="60" spans="1:9" x14ac:dyDescent="0.25">
      <c r="A60" s="2" t="s">
        <v>644</v>
      </c>
      <c r="B60" s="2" t="s">
        <v>94</v>
      </c>
      <c r="C60" s="2" t="s">
        <v>94</v>
      </c>
      <c r="D60" s="3" t="s">
        <v>1363</v>
      </c>
      <c r="E60" s="3">
        <v>7</v>
      </c>
      <c r="F60" s="2" t="s">
        <v>645</v>
      </c>
      <c r="G60" s="2" t="s">
        <v>563</v>
      </c>
      <c r="H60" s="4">
        <v>2730</v>
      </c>
      <c r="I60" s="3" t="s">
        <v>17</v>
      </c>
    </row>
    <row r="61" spans="1:9" x14ac:dyDescent="0.25">
      <c r="A61" s="5" t="s">
        <v>332</v>
      </c>
      <c r="B61" s="5" t="s">
        <v>94</v>
      </c>
      <c r="C61" s="5" t="s">
        <v>94</v>
      </c>
      <c r="D61" s="6" t="s">
        <v>1363</v>
      </c>
      <c r="E61" s="6">
        <v>8</v>
      </c>
      <c r="F61" s="5" t="s">
        <v>333</v>
      </c>
      <c r="G61" s="5" t="s">
        <v>334</v>
      </c>
      <c r="H61" s="7">
        <v>616902</v>
      </c>
      <c r="I61" s="6" t="s">
        <v>17</v>
      </c>
    </row>
    <row r="62" spans="1:9" x14ac:dyDescent="0.25">
      <c r="A62" s="2" t="s">
        <v>339</v>
      </c>
      <c r="B62" s="2" t="s">
        <v>94</v>
      </c>
      <c r="C62" s="2" t="s">
        <v>94</v>
      </c>
      <c r="D62" s="3" t="s">
        <v>1363</v>
      </c>
      <c r="E62" s="3">
        <v>9</v>
      </c>
      <c r="F62" s="2" t="s">
        <v>340</v>
      </c>
      <c r="G62" s="2" t="s">
        <v>341</v>
      </c>
      <c r="H62" s="4">
        <v>34099</v>
      </c>
      <c r="I62" s="3" t="s">
        <v>17</v>
      </c>
    </row>
    <row r="63" spans="1:9" x14ac:dyDescent="0.25">
      <c r="A63" s="8" t="s">
        <v>720</v>
      </c>
      <c r="B63" s="8" t="s">
        <v>102</v>
      </c>
      <c r="C63" s="8" t="s">
        <v>1358</v>
      </c>
      <c r="D63" s="9" t="s">
        <v>1364</v>
      </c>
      <c r="E63" s="9">
        <v>1</v>
      </c>
      <c r="F63" s="8" t="s">
        <v>721</v>
      </c>
      <c r="G63" s="8" t="s">
        <v>722</v>
      </c>
      <c r="H63" s="10">
        <v>91418</v>
      </c>
      <c r="I63" s="9" t="s">
        <v>33</v>
      </c>
    </row>
    <row r="64" spans="1:9" x14ac:dyDescent="0.25">
      <c r="A64" s="2" t="s">
        <v>226</v>
      </c>
      <c r="B64" s="2" t="s">
        <v>102</v>
      </c>
      <c r="C64" s="2" t="s">
        <v>1358</v>
      </c>
      <c r="D64" s="3" t="s">
        <v>1364</v>
      </c>
      <c r="E64" s="3">
        <v>2</v>
      </c>
      <c r="F64" s="2" t="s">
        <v>227</v>
      </c>
      <c r="G64" s="2" t="s">
        <v>228</v>
      </c>
      <c r="H64" s="4">
        <v>33995</v>
      </c>
      <c r="I64" s="3" t="s">
        <v>17</v>
      </c>
    </row>
    <row r="65" spans="1:9" x14ac:dyDescent="0.25">
      <c r="A65" s="5" t="s">
        <v>132</v>
      </c>
      <c r="B65" s="5" t="s">
        <v>102</v>
      </c>
      <c r="C65" s="5" t="s">
        <v>1358</v>
      </c>
      <c r="D65" s="6" t="s">
        <v>1364</v>
      </c>
      <c r="E65" s="6">
        <v>3</v>
      </c>
      <c r="F65" s="5" t="s">
        <v>133</v>
      </c>
      <c r="G65" s="5" t="s">
        <v>134</v>
      </c>
      <c r="H65" s="7">
        <v>22726</v>
      </c>
      <c r="I65" s="6" t="s">
        <v>17</v>
      </c>
    </row>
    <row r="66" spans="1:9" x14ac:dyDescent="0.25">
      <c r="A66" s="2" t="s">
        <v>910</v>
      </c>
      <c r="B66" s="2" t="s">
        <v>102</v>
      </c>
      <c r="C66" s="2" t="s">
        <v>1358</v>
      </c>
      <c r="D66" s="3" t="s">
        <v>1364</v>
      </c>
      <c r="E66" s="3">
        <v>4</v>
      </c>
      <c r="F66" s="2" t="s">
        <v>911</v>
      </c>
      <c r="G66" s="2" t="s">
        <v>214</v>
      </c>
      <c r="H66" s="4">
        <v>1050</v>
      </c>
      <c r="I66" s="3" t="s">
        <v>17</v>
      </c>
    </row>
    <row r="67" spans="1:9" x14ac:dyDescent="0.25">
      <c r="A67" s="5" t="s">
        <v>914</v>
      </c>
      <c r="B67" s="5" t="s">
        <v>102</v>
      </c>
      <c r="C67" s="5" t="s">
        <v>1358</v>
      </c>
      <c r="D67" s="6" t="s">
        <v>1364</v>
      </c>
      <c r="E67" s="6">
        <v>5</v>
      </c>
      <c r="F67" s="5" t="s">
        <v>915</v>
      </c>
      <c r="G67" s="5" t="s">
        <v>815</v>
      </c>
      <c r="H67" s="7">
        <v>642</v>
      </c>
      <c r="I67" s="6" t="s">
        <v>17</v>
      </c>
    </row>
    <row r="68" spans="1:9" x14ac:dyDescent="0.25">
      <c r="A68" s="2" t="s">
        <v>912</v>
      </c>
      <c r="B68" s="2" t="s">
        <v>102</v>
      </c>
      <c r="C68" s="2" t="s">
        <v>1358</v>
      </c>
      <c r="D68" s="3" t="s">
        <v>1364</v>
      </c>
      <c r="E68" s="3">
        <v>6</v>
      </c>
      <c r="F68" s="2" t="s">
        <v>913</v>
      </c>
      <c r="G68" s="2" t="s">
        <v>694</v>
      </c>
      <c r="H68" s="4">
        <v>1001</v>
      </c>
      <c r="I68" s="3" t="s">
        <v>17</v>
      </c>
    </row>
    <row r="69" spans="1:9" x14ac:dyDescent="0.25">
      <c r="A69" s="5" t="s">
        <v>916</v>
      </c>
      <c r="B69" s="5" t="s">
        <v>102</v>
      </c>
      <c r="C69" s="5" t="s">
        <v>1358</v>
      </c>
      <c r="D69" s="6" t="s">
        <v>1364</v>
      </c>
      <c r="E69" s="6">
        <v>7</v>
      </c>
      <c r="F69" s="5" t="s">
        <v>917</v>
      </c>
      <c r="G69" s="5" t="s">
        <v>807</v>
      </c>
      <c r="H69" s="7">
        <v>361</v>
      </c>
      <c r="I69" s="6" t="s">
        <v>17</v>
      </c>
    </row>
    <row r="70" spans="1:9" x14ac:dyDescent="0.25">
      <c r="A70" s="2" t="s">
        <v>101</v>
      </c>
      <c r="B70" s="2" t="s">
        <v>102</v>
      </c>
      <c r="C70" s="2" t="s">
        <v>1358</v>
      </c>
      <c r="D70" s="3" t="s">
        <v>1364</v>
      </c>
      <c r="E70" s="3">
        <v>8</v>
      </c>
      <c r="F70" s="2" t="s">
        <v>103</v>
      </c>
      <c r="G70" s="2" t="s">
        <v>104</v>
      </c>
      <c r="H70" s="4">
        <v>39004</v>
      </c>
      <c r="I70" s="3" t="s">
        <v>17</v>
      </c>
    </row>
    <row r="71" spans="1:9" x14ac:dyDescent="0.25">
      <c r="A71" s="5" t="s">
        <v>905</v>
      </c>
      <c r="B71" s="5" t="s">
        <v>102</v>
      </c>
      <c r="C71" s="5" t="s">
        <v>1358</v>
      </c>
      <c r="D71" s="6" t="s">
        <v>1364</v>
      </c>
      <c r="E71" s="6">
        <v>9</v>
      </c>
      <c r="F71" s="5" t="s">
        <v>906</v>
      </c>
      <c r="G71" s="5" t="s">
        <v>382</v>
      </c>
      <c r="H71" s="7">
        <v>2544</v>
      </c>
      <c r="I71" s="6" t="s">
        <v>17</v>
      </c>
    </row>
    <row r="72" spans="1:9" x14ac:dyDescent="0.25">
      <c r="A72" s="2" t="s">
        <v>918</v>
      </c>
      <c r="B72" s="2" t="s">
        <v>102</v>
      </c>
      <c r="C72" s="2" t="s">
        <v>1358</v>
      </c>
      <c r="D72" s="3" t="s">
        <v>1364</v>
      </c>
      <c r="E72" s="3">
        <v>10</v>
      </c>
      <c r="F72" s="2" t="s">
        <v>919</v>
      </c>
      <c r="G72" s="2" t="s">
        <v>235</v>
      </c>
      <c r="H72" s="4">
        <v>328</v>
      </c>
      <c r="I72" s="3" t="s">
        <v>17</v>
      </c>
    </row>
    <row r="73" spans="1:9" x14ac:dyDescent="0.25">
      <c r="A73" s="5" t="s">
        <v>902</v>
      </c>
      <c r="B73" s="5" t="s">
        <v>102</v>
      </c>
      <c r="C73" s="5" t="s">
        <v>1358</v>
      </c>
      <c r="D73" s="6" t="s">
        <v>1364</v>
      </c>
      <c r="E73" s="6">
        <v>11</v>
      </c>
      <c r="F73" s="5" t="s">
        <v>903</v>
      </c>
      <c r="G73" s="5" t="s">
        <v>904</v>
      </c>
      <c r="H73" s="7">
        <v>8212</v>
      </c>
      <c r="I73" s="6" t="s">
        <v>17</v>
      </c>
    </row>
    <row r="74" spans="1:9" x14ac:dyDescent="0.25">
      <c r="A74" s="2" t="s">
        <v>897</v>
      </c>
      <c r="B74" s="2" t="s">
        <v>102</v>
      </c>
      <c r="C74" s="2" t="s">
        <v>1358</v>
      </c>
      <c r="D74" s="3" t="s">
        <v>1364</v>
      </c>
      <c r="E74" s="3">
        <v>12</v>
      </c>
      <c r="F74" s="2" t="s">
        <v>898</v>
      </c>
      <c r="G74" s="2" t="s">
        <v>899</v>
      </c>
      <c r="H74" s="4">
        <v>10326</v>
      </c>
      <c r="I74" s="3" t="s">
        <v>17</v>
      </c>
    </row>
    <row r="75" spans="1:9" x14ac:dyDescent="0.25">
      <c r="A75" s="5" t="s">
        <v>311</v>
      </c>
      <c r="B75" s="5" t="s">
        <v>102</v>
      </c>
      <c r="C75" s="5" t="s">
        <v>1358</v>
      </c>
      <c r="D75" s="6" t="s">
        <v>1364</v>
      </c>
      <c r="E75" s="6">
        <v>13</v>
      </c>
      <c r="F75" s="5" t="s">
        <v>312</v>
      </c>
      <c r="G75" s="5" t="s">
        <v>313</v>
      </c>
      <c r="H75" s="7">
        <v>10693</v>
      </c>
      <c r="I75" s="6" t="s">
        <v>17</v>
      </c>
    </row>
    <row r="76" spans="1:9" x14ac:dyDescent="0.25">
      <c r="A76" s="2" t="s">
        <v>907</v>
      </c>
      <c r="B76" s="2" t="s">
        <v>102</v>
      </c>
      <c r="C76" s="2" t="s">
        <v>1358</v>
      </c>
      <c r="D76" s="3" t="s">
        <v>1364</v>
      </c>
      <c r="E76" s="3">
        <v>14</v>
      </c>
      <c r="F76" s="2" t="s">
        <v>908</v>
      </c>
      <c r="G76" s="2" t="s">
        <v>909</v>
      </c>
      <c r="H76" s="4">
        <v>1779</v>
      </c>
      <c r="I76" s="3" t="s">
        <v>17</v>
      </c>
    </row>
    <row r="77" spans="1:9" x14ac:dyDescent="0.25">
      <c r="A77" s="5" t="s">
        <v>297</v>
      </c>
      <c r="B77" s="5" t="s">
        <v>102</v>
      </c>
      <c r="C77" s="5" t="s">
        <v>1358</v>
      </c>
      <c r="D77" s="6" t="s">
        <v>1364</v>
      </c>
      <c r="E77" s="6">
        <v>15</v>
      </c>
      <c r="F77" s="5" t="s">
        <v>298</v>
      </c>
      <c r="G77" s="5" t="s">
        <v>299</v>
      </c>
      <c r="H77" s="7">
        <v>23551</v>
      </c>
      <c r="I77" s="6" t="s">
        <v>17</v>
      </c>
    </row>
    <row r="78" spans="1:9" x14ac:dyDescent="0.25">
      <c r="A78" s="2" t="s">
        <v>949</v>
      </c>
      <c r="B78" s="2" t="s">
        <v>479</v>
      </c>
      <c r="C78" s="2" t="s">
        <v>1365</v>
      </c>
      <c r="D78" s="3" t="s">
        <v>1366</v>
      </c>
      <c r="E78" s="3">
        <v>1</v>
      </c>
      <c r="F78" s="2" t="s">
        <v>950</v>
      </c>
      <c r="G78" s="2" t="s">
        <v>206</v>
      </c>
      <c r="H78" s="4">
        <v>179</v>
      </c>
      <c r="I78" s="3" t="s">
        <v>17</v>
      </c>
    </row>
    <row r="79" spans="1:9" x14ac:dyDescent="0.25">
      <c r="A79" s="5" t="s">
        <v>935</v>
      </c>
      <c r="B79" s="5" t="s">
        <v>479</v>
      </c>
      <c r="C79" s="5" t="s">
        <v>1365</v>
      </c>
      <c r="D79" s="6" t="s">
        <v>1366</v>
      </c>
      <c r="E79" s="6">
        <v>2</v>
      </c>
      <c r="F79" s="5" t="s">
        <v>936</v>
      </c>
      <c r="G79" s="5" t="s">
        <v>155</v>
      </c>
      <c r="H79" s="7">
        <v>1022</v>
      </c>
      <c r="I79" s="6" t="s">
        <v>17</v>
      </c>
    </row>
    <row r="80" spans="1:9" x14ac:dyDescent="0.25">
      <c r="A80" s="2" t="s">
        <v>943</v>
      </c>
      <c r="B80" s="2" t="s">
        <v>479</v>
      </c>
      <c r="C80" s="2" t="s">
        <v>1365</v>
      </c>
      <c r="D80" s="3" t="s">
        <v>1366</v>
      </c>
      <c r="E80" s="3">
        <v>3</v>
      </c>
      <c r="F80" s="2" t="s">
        <v>944</v>
      </c>
      <c r="G80" s="2" t="s">
        <v>945</v>
      </c>
      <c r="H80" s="4">
        <v>345</v>
      </c>
      <c r="I80" s="3" t="s">
        <v>17</v>
      </c>
    </row>
    <row r="81" spans="1:9" x14ac:dyDescent="0.25">
      <c r="A81" s="5" t="s">
        <v>930</v>
      </c>
      <c r="B81" s="5" t="s">
        <v>479</v>
      </c>
      <c r="C81" s="5" t="s">
        <v>1365</v>
      </c>
      <c r="D81" s="6" t="s">
        <v>1366</v>
      </c>
      <c r="E81" s="6">
        <v>4</v>
      </c>
      <c r="F81" s="5" t="s">
        <v>931</v>
      </c>
      <c r="G81" s="5" t="s">
        <v>932</v>
      </c>
      <c r="H81" s="7">
        <v>1734</v>
      </c>
      <c r="I81" s="6" t="s">
        <v>17</v>
      </c>
    </row>
    <row r="82" spans="1:9" x14ac:dyDescent="0.25">
      <c r="A82" s="2" t="s">
        <v>951</v>
      </c>
      <c r="B82" s="2" t="s">
        <v>479</v>
      </c>
      <c r="C82" s="2" t="s">
        <v>1365</v>
      </c>
      <c r="D82" s="3" t="s">
        <v>1366</v>
      </c>
      <c r="E82" s="3">
        <v>5</v>
      </c>
      <c r="F82" s="2" t="s">
        <v>952</v>
      </c>
      <c r="G82" s="2" t="s">
        <v>953</v>
      </c>
      <c r="H82" s="4">
        <v>93</v>
      </c>
      <c r="I82" s="3" t="s">
        <v>17</v>
      </c>
    </row>
    <row r="83" spans="1:9" x14ac:dyDescent="0.25">
      <c r="A83" s="5" t="s">
        <v>923</v>
      </c>
      <c r="B83" s="5" t="s">
        <v>479</v>
      </c>
      <c r="C83" s="5" t="s">
        <v>1365</v>
      </c>
      <c r="D83" s="6" t="s">
        <v>1366</v>
      </c>
      <c r="E83" s="6">
        <v>6</v>
      </c>
      <c r="F83" s="5" t="s">
        <v>924</v>
      </c>
      <c r="G83" s="5" t="s">
        <v>925</v>
      </c>
      <c r="H83" s="7">
        <v>7080</v>
      </c>
      <c r="I83" s="6" t="s">
        <v>17</v>
      </c>
    </row>
    <row r="84" spans="1:9" x14ac:dyDescent="0.25">
      <c r="A84" s="2" t="s">
        <v>928</v>
      </c>
      <c r="B84" s="2" t="s">
        <v>479</v>
      </c>
      <c r="C84" s="2" t="s">
        <v>1365</v>
      </c>
      <c r="D84" s="3" t="s">
        <v>1366</v>
      </c>
      <c r="E84" s="3">
        <v>7</v>
      </c>
      <c r="F84" s="2" t="s">
        <v>929</v>
      </c>
      <c r="G84" s="2" t="s">
        <v>382</v>
      </c>
      <c r="H84" s="4">
        <v>2127</v>
      </c>
      <c r="I84" s="3" t="s">
        <v>17</v>
      </c>
    </row>
    <row r="85" spans="1:9" x14ac:dyDescent="0.25">
      <c r="A85" s="5" t="s">
        <v>939</v>
      </c>
      <c r="B85" s="5" t="s">
        <v>479</v>
      </c>
      <c r="C85" s="5" t="s">
        <v>1365</v>
      </c>
      <c r="D85" s="6" t="s">
        <v>1366</v>
      </c>
      <c r="E85" s="6">
        <v>8</v>
      </c>
      <c r="F85" s="5" t="s">
        <v>940</v>
      </c>
      <c r="G85" s="5" t="s">
        <v>96</v>
      </c>
      <c r="H85" s="7">
        <v>537</v>
      </c>
      <c r="I85" s="6" t="s">
        <v>17</v>
      </c>
    </row>
    <row r="86" spans="1:9" x14ac:dyDescent="0.25">
      <c r="A86" s="2" t="s">
        <v>937</v>
      </c>
      <c r="B86" s="2" t="s">
        <v>479</v>
      </c>
      <c r="C86" s="2" t="s">
        <v>1365</v>
      </c>
      <c r="D86" s="3" t="s">
        <v>1366</v>
      </c>
      <c r="E86" s="3">
        <v>9</v>
      </c>
      <c r="F86" s="2" t="s">
        <v>938</v>
      </c>
      <c r="G86" s="2" t="s">
        <v>743</v>
      </c>
      <c r="H86" s="4">
        <v>637</v>
      </c>
      <c r="I86" s="3" t="s">
        <v>17</v>
      </c>
    </row>
    <row r="87" spans="1:9" x14ac:dyDescent="0.25">
      <c r="A87" s="5" t="s">
        <v>478</v>
      </c>
      <c r="B87" s="5" t="s">
        <v>479</v>
      </c>
      <c r="C87" s="5" t="s">
        <v>1365</v>
      </c>
      <c r="D87" s="6" t="s">
        <v>1366</v>
      </c>
      <c r="E87" s="6">
        <v>10</v>
      </c>
      <c r="F87" s="5" t="s">
        <v>480</v>
      </c>
      <c r="G87" s="5" t="s">
        <v>119</v>
      </c>
      <c r="H87" s="7">
        <v>19727</v>
      </c>
      <c r="I87" s="6" t="s">
        <v>17</v>
      </c>
    </row>
    <row r="88" spans="1:9" x14ac:dyDescent="0.25">
      <c r="A88" s="2" t="s">
        <v>926</v>
      </c>
      <c r="B88" s="2" t="s">
        <v>479</v>
      </c>
      <c r="C88" s="2" t="s">
        <v>1365</v>
      </c>
      <c r="D88" s="3" t="s">
        <v>1366</v>
      </c>
      <c r="E88" s="3">
        <v>11</v>
      </c>
      <c r="F88" s="2" t="s">
        <v>927</v>
      </c>
      <c r="G88" s="2" t="s">
        <v>494</v>
      </c>
      <c r="H88" s="4">
        <v>2973</v>
      </c>
      <c r="I88" s="3" t="s">
        <v>17</v>
      </c>
    </row>
    <row r="89" spans="1:9" x14ac:dyDescent="0.25">
      <c r="A89" s="5" t="s">
        <v>933</v>
      </c>
      <c r="B89" s="5" t="s">
        <v>479</v>
      </c>
      <c r="C89" s="5" t="s">
        <v>1365</v>
      </c>
      <c r="D89" s="6" t="s">
        <v>1366</v>
      </c>
      <c r="E89" s="6">
        <v>12</v>
      </c>
      <c r="F89" s="5" t="s">
        <v>934</v>
      </c>
      <c r="G89" s="5" t="s">
        <v>812</v>
      </c>
      <c r="H89" s="7">
        <v>1608</v>
      </c>
      <c r="I89" s="6" t="s">
        <v>17</v>
      </c>
    </row>
    <row r="90" spans="1:9" x14ac:dyDescent="0.25">
      <c r="A90" s="2" t="s">
        <v>946</v>
      </c>
      <c r="B90" s="2" t="s">
        <v>479</v>
      </c>
      <c r="C90" s="2" t="s">
        <v>1365</v>
      </c>
      <c r="D90" s="3" t="s">
        <v>1366</v>
      </c>
      <c r="E90" s="3">
        <v>13</v>
      </c>
      <c r="F90" s="2" t="s">
        <v>947</v>
      </c>
      <c r="G90" s="2" t="s">
        <v>948</v>
      </c>
      <c r="H90" s="4">
        <v>300</v>
      </c>
      <c r="I90" s="3" t="s">
        <v>17</v>
      </c>
    </row>
    <row r="91" spans="1:9" x14ac:dyDescent="0.25">
      <c r="A91" s="5" t="s">
        <v>941</v>
      </c>
      <c r="B91" s="5" t="s">
        <v>479</v>
      </c>
      <c r="C91" s="5" t="s">
        <v>1365</v>
      </c>
      <c r="D91" s="6" t="s">
        <v>1366</v>
      </c>
      <c r="E91" s="6">
        <v>14</v>
      </c>
      <c r="F91" s="5" t="s">
        <v>942</v>
      </c>
      <c r="G91" s="5" t="s">
        <v>804</v>
      </c>
      <c r="H91" s="7">
        <v>482</v>
      </c>
      <c r="I91" s="6" t="s">
        <v>17</v>
      </c>
    </row>
    <row r="92" spans="1:9" x14ac:dyDescent="0.25">
      <c r="A92" s="8" t="s">
        <v>485</v>
      </c>
      <c r="B92" s="8" t="s">
        <v>479</v>
      </c>
      <c r="C92" s="8" t="s">
        <v>1365</v>
      </c>
      <c r="D92" s="9" t="s">
        <v>1366</v>
      </c>
      <c r="E92" s="9">
        <v>15</v>
      </c>
      <c r="F92" s="8" t="s">
        <v>486</v>
      </c>
      <c r="G92" s="8" t="s">
        <v>487</v>
      </c>
      <c r="H92" s="10">
        <v>42201</v>
      </c>
      <c r="I92" s="9" t="s">
        <v>33</v>
      </c>
    </row>
    <row r="93" spans="1:9" x14ac:dyDescent="0.25">
      <c r="A93" s="5" t="s">
        <v>920</v>
      </c>
      <c r="B93" s="5" t="s">
        <v>479</v>
      </c>
      <c r="C93" s="5" t="s">
        <v>1365</v>
      </c>
      <c r="D93" s="6" t="s">
        <v>1366</v>
      </c>
      <c r="E93" s="6">
        <v>16</v>
      </c>
      <c r="F93" s="5" t="s">
        <v>921</v>
      </c>
      <c r="G93" s="5" t="s">
        <v>922</v>
      </c>
      <c r="H93" s="7">
        <v>17708</v>
      </c>
      <c r="I93" s="6" t="s">
        <v>17</v>
      </c>
    </row>
    <row r="94" spans="1:9" x14ac:dyDescent="0.25">
      <c r="A94" s="2" t="s">
        <v>962</v>
      </c>
      <c r="B94" s="2" t="s">
        <v>47</v>
      </c>
      <c r="C94" s="2" t="s">
        <v>1365</v>
      </c>
      <c r="D94" s="3" t="s">
        <v>1367</v>
      </c>
      <c r="E94" s="3">
        <v>1</v>
      </c>
      <c r="F94" s="2" t="s">
        <v>963</v>
      </c>
      <c r="G94" s="2" t="s">
        <v>953</v>
      </c>
      <c r="H94" s="4">
        <v>1245</v>
      </c>
      <c r="I94" s="3" t="s">
        <v>17</v>
      </c>
    </row>
    <row r="95" spans="1:9" x14ac:dyDescent="0.25">
      <c r="A95" s="8" t="s">
        <v>46</v>
      </c>
      <c r="B95" s="8" t="s">
        <v>47</v>
      </c>
      <c r="C95" s="8" t="s">
        <v>1365</v>
      </c>
      <c r="D95" s="9" t="s">
        <v>1367</v>
      </c>
      <c r="E95" s="9">
        <v>2</v>
      </c>
      <c r="F95" s="8" t="s">
        <v>48</v>
      </c>
      <c r="G95" s="8" t="s">
        <v>49</v>
      </c>
      <c r="H95" s="10">
        <v>318656</v>
      </c>
      <c r="I95" s="9" t="s">
        <v>33</v>
      </c>
    </row>
    <row r="96" spans="1:9" x14ac:dyDescent="0.25">
      <c r="A96" s="2" t="s">
        <v>959</v>
      </c>
      <c r="B96" s="2" t="s">
        <v>47</v>
      </c>
      <c r="C96" s="2" t="s">
        <v>1365</v>
      </c>
      <c r="D96" s="3" t="s">
        <v>1367</v>
      </c>
      <c r="E96" s="3">
        <v>3</v>
      </c>
      <c r="F96" s="2" t="s">
        <v>960</v>
      </c>
      <c r="G96" s="2" t="s">
        <v>961</v>
      </c>
      <c r="H96" s="4">
        <v>1947</v>
      </c>
      <c r="I96" s="3" t="s">
        <v>17</v>
      </c>
    </row>
    <row r="97" spans="1:9" x14ac:dyDescent="0.25">
      <c r="A97" s="5" t="s">
        <v>954</v>
      </c>
      <c r="B97" s="5" t="s">
        <v>47</v>
      </c>
      <c r="C97" s="5" t="s">
        <v>1365</v>
      </c>
      <c r="D97" s="6" t="s">
        <v>1367</v>
      </c>
      <c r="E97" s="6">
        <v>4</v>
      </c>
      <c r="F97" s="5" t="s">
        <v>955</v>
      </c>
      <c r="G97" s="5" t="s">
        <v>956</v>
      </c>
      <c r="H97" s="7">
        <v>5380</v>
      </c>
      <c r="I97" s="6" t="s">
        <v>17</v>
      </c>
    </row>
    <row r="98" spans="1:9" x14ac:dyDescent="0.25">
      <c r="A98" s="2" t="s">
        <v>554</v>
      </c>
      <c r="B98" s="2" t="s">
        <v>47</v>
      </c>
      <c r="C98" s="2" t="s">
        <v>1365</v>
      </c>
      <c r="D98" s="3" t="s">
        <v>1367</v>
      </c>
      <c r="E98" s="3">
        <v>5</v>
      </c>
      <c r="F98" s="2" t="s">
        <v>555</v>
      </c>
      <c r="G98" s="2" t="s">
        <v>556</v>
      </c>
      <c r="H98" s="4">
        <v>34529</v>
      </c>
      <c r="I98" s="3" t="s">
        <v>17</v>
      </c>
    </row>
    <row r="99" spans="1:9" x14ac:dyDescent="0.25">
      <c r="A99" s="5" t="s">
        <v>624</v>
      </c>
      <c r="B99" s="5" t="s">
        <v>47</v>
      </c>
      <c r="C99" s="5" t="s">
        <v>1365</v>
      </c>
      <c r="D99" s="6" t="s">
        <v>1367</v>
      </c>
      <c r="E99" s="6">
        <v>6</v>
      </c>
      <c r="F99" s="5" t="s">
        <v>625</v>
      </c>
      <c r="G99" s="5" t="s">
        <v>382</v>
      </c>
      <c r="H99" s="7">
        <v>19151</v>
      </c>
      <c r="I99" s="6" t="s">
        <v>17</v>
      </c>
    </row>
    <row r="100" spans="1:9" x14ac:dyDescent="0.25">
      <c r="A100" s="2" t="s">
        <v>672</v>
      </c>
      <c r="B100" s="2" t="s">
        <v>47</v>
      </c>
      <c r="C100" s="2" t="s">
        <v>1365</v>
      </c>
      <c r="D100" s="3" t="s">
        <v>1367</v>
      </c>
      <c r="E100" s="3">
        <v>7</v>
      </c>
      <c r="F100" s="2" t="s">
        <v>673</v>
      </c>
      <c r="G100" s="2" t="s">
        <v>674</v>
      </c>
      <c r="H100" s="4">
        <v>221038</v>
      </c>
      <c r="I100" s="3" t="s">
        <v>17</v>
      </c>
    </row>
    <row r="101" spans="1:9" x14ac:dyDescent="0.25">
      <c r="A101" s="5" t="s">
        <v>957</v>
      </c>
      <c r="B101" s="5" t="s">
        <v>47</v>
      </c>
      <c r="C101" s="5" t="s">
        <v>1365</v>
      </c>
      <c r="D101" s="6" t="s">
        <v>1367</v>
      </c>
      <c r="E101" s="6">
        <v>8</v>
      </c>
      <c r="F101" s="5" t="s">
        <v>958</v>
      </c>
      <c r="G101" s="5" t="s">
        <v>815</v>
      </c>
      <c r="H101" s="7">
        <v>4109</v>
      </c>
      <c r="I101" s="6" t="s">
        <v>17</v>
      </c>
    </row>
    <row r="102" spans="1:9" x14ac:dyDescent="0.25">
      <c r="A102" s="2" t="s">
        <v>139</v>
      </c>
      <c r="B102" s="2" t="s">
        <v>47</v>
      </c>
      <c r="C102" s="2" t="s">
        <v>1365</v>
      </c>
      <c r="D102" s="3" t="s">
        <v>1367</v>
      </c>
      <c r="E102" s="3">
        <v>9</v>
      </c>
      <c r="F102" s="2" t="s">
        <v>140</v>
      </c>
      <c r="G102" s="2" t="s">
        <v>141</v>
      </c>
      <c r="H102" s="4">
        <v>86853</v>
      </c>
      <c r="I102" s="3" t="s">
        <v>17</v>
      </c>
    </row>
    <row r="103" spans="1:9" x14ac:dyDescent="0.25">
      <c r="A103" s="5" t="s">
        <v>153</v>
      </c>
      <c r="B103" s="5" t="s">
        <v>47</v>
      </c>
      <c r="C103" s="5" t="s">
        <v>1365</v>
      </c>
      <c r="D103" s="6" t="s">
        <v>1367</v>
      </c>
      <c r="E103" s="6">
        <v>10</v>
      </c>
      <c r="F103" s="5" t="s">
        <v>154</v>
      </c>
      <c r="G103" s="5" t="s">
        <v>155</v>
      </c>
      <c r="H103" s="7">
        <v>11067</v>
      </c>
      <c r="I103" s="6" t="s">
        <v>17</v>
      </c>
    </row>
    <row r="104" spans="1:9" x14ac:dyDescent="0.25">
      <c r="A104" s="2" t="s">
        <v>977</v>
      </c>
      <c r="B104" s="2" t="s">
        <v>176</v>
      </c>
      <c r="C104" s="2" t="s">
        <v>1368</v>
      </c>
      <c r="D104" s="3" t="s">
        <v>1369</v>
      </c>
      <c r="E104" s="3">
        <v>1</v>
      </c>
      <c r="F104" s="2" t="s">
        <v>978</v>
      </c>
      <c r="G104" s="2" t="s">
        <v>127</v>
      </c>
      <c r="H104" s="4">
        <v>1173</v>
      </c>
      <c r="I104" s="3" t="s">
        <v>17</v>
      </c>
    </row>
    <row r="105" spans="1:9" x14ac:dyDescent="0.25">
      <c r="A105" s="5" t="s">
        <v>782</v>
      </c>
      <c r="B105" s="5" t="s">
        <v>176</v>
      </c>
      <c r="C105" s="5" t="s">
        <v>1368</v>
      </c>
      <c r="D105" s="6" t="s">
        <v>1369</v>
      </c>
      <c r="E105" s="6">
        <v>2</v>
      </c>
      <c r="F105" s="5" t="s">
        <v>783</v>
      </c>
      <c r="G105" s="5" t="s">
        <v>784</v>
      </c>
      <c r="H105" s="7">
        <v>35885</v>
      </c>
      <c r="I105" s="6" t="s">
        <v>17</v>
      </c>
    </row>
    <row r="106" spans="1:9" x14ac:dyDescent="0.25">
      <c r="A106" s="2" t="s">
        <v>964</v>
      </c>
      <c r="B106" s="2" t="s">
        <v>176</v>
      </c>
      <c r="C106" s="2" t="s">
        <v>1368</v>
      </c>
      <c r="D106" s="3" t="s">
        <v>1369</v>
      </c>
      <c r="E106" s="3">
        <v>3</v>
      </c>
      <c r="F106" s="2" t="s">
        <v>965</v>
      </c>
      <c r="G106" s="2" t="s">
        <v>214</v>
      </c>
      <c r="H106" s="4">
        <v>5786</v>
      </c>
      <c r="I106" s="3" t="s">
        <v>17</v>
      </c>
    </row>
    <row r="107" spans="1:9" x14ac:dyDescent="0.25">
      <c r="A107" s="5" t="s">
        <v>970</v>
      </c>
      <c r="B107" s="5" t="s">
        <v>176</v>
      </c>
      <c r="C107" s="5" t="s">
        <v>1368</v>
      </c>
      <c r="D107" s="6" t="s">
        <v>1369</v>
      </c>
      <c r="E107" s="6">
        <v>4</v>
      </c>
      <c r="F107" s="5" t="s">
        <v>971</v>
      </c>
      <c r="G107" s="5" t="s">
        <v>815</v>
      </c>
      <c r="H107" s="7">
        <v>2753</v>
      </c>
      <c r="I107" s="6" t="s">
        <v>17</v>
      </c>
    </row>
    <row r="108" spans="1:9" x14ac:dyDescent="0.25">
      <c r="A108" s="2" t="s">
        <v>968</v>
      </c>
      <c r="B108" s="2" t="s">
        <v>176</v>
      </c>
      <c r="C108" s="2" t="s">
        <v>1368</v>
      </c>
      <c r="D108" s="3" t="s">
        <v>1369</v>
      </c>
      <c r="E108" s="3">
        <v>5</v>
      </c>
      <c r="F108" s="2" t="s">
        <v>969</v>
      </c>
      <c r="G108" s="2" t="s">
        <v>875</v>
      </c>
      <c r="H108" s="4">
        <v>3188</v>
      </c>
      <c r="I108" s="3" t="s">
        <v>17</v>
      </c>
    </row>
    <row r="109" spans="1:9" x14ac:dyDescent="0.25">
      <c r="A109" s="5" t="s">
        <v>974</v>
      </c>
      <c r="B109" s="5" t="s">
        <v>176</v>
      </c>
      <c r="C109" s="5" t="s">
        <v>1368</v>
      </c>
      <c r="D109" s="6" t="s">
        <v>1369</v>
      </c>
      <c r="E109" s="6">
        <v>6</v>
      </c>
      <c r="F109" s="5" t="s">
        <v>975</v>
      </c>
      <c r="G109" s="5" t="s">
        <v>976</v>
      </c>
      <c r="H109" s="7">
        <v>1579</v>
      </c>
      <c r="I109" s="6" t="s">
        <v>17</v>
      </c>
    </row>
    <row r="110" spans="1:9" x14ac:dyDescent="0.25">
      <c r="A110" s="2" t="s">
        <v>966</v>
      </c>
      <c r="B110" s="2" t="s">
        <v>176</v>
      </c>
      <c r="C110" s="2" t="s">
        <v>1368</v>
      </c>
      <c r="D110" s="3" t="s">
        <v>1369</v>
      </c>
      <c r="E110" s="3">
        <v>7</v>
      </c>
      <c r="F110" s="2" t="s">
        <v>967</v>
      </c>
      <c r="G110" s="2" t="s">
        <v>743</v>
      </c>
      <c r="H110" s="4">
        <v>4676</v>
      </c>
      <c r="I110" s="3" t="s">
        <v>17</v>
      </c>
    </row>
    <row r="111" spans="1:9" x14ac:dyDescent="0.25">
      <c r="A111" s="5" t="s">
        <v>972</v>
      </c>
      <c r="B111" s="5" t="s">
        <v>176</v>
      </c>
      <c r="C111" s="5" t="s">
        <v>1368</v>
      </c>
      <c r="D111" s="6" t="s">
        <v>1369</v>
      </c>
      <c r="E111" s="6">
        <v>8</v>
      </c>
      <c r="F111" s="5" t="s">
        <v>973</v>
      </c>
      <c r="G111" s="5" t="s">
        <v>206</v>
      </c>
      <c r="H111" s="7">
        <v>1879</v>
      </c>
      <c r="I111" s="6" t="s">
        <v>17</v>
      </c>
    </row>
    <row r="112" spans="1:9" x14ac:dyDescent="0.25">
      <c r="A112" s="2" t="s">
        <v>415</v>
      </c>
      <c r="B112" s="2" t="s">
        <v>176</v>
      </c>
      <c r="C112" s="2" t="s">
        <v>1368</v>
      </c>
      <c r="D112" s="3" t="s">
        <v>1369</v>
      </c>
      <c r="E112" s="3">
        <v>9</v>
      </c>
      <c r="F112" s="2" t="s">
        <v>416</v>
      </c>
      <c r="G112" s="2" t="s">
        <v>155</v>
      </c>
      <c r="H112" s="4">
        <v>23662</v>
      </c>
      <c r="I112" s="3" t="s">
        <v>17</v>
      </c>
    </row>
    <row r="113" spans="1:9" x14ac:dyDescent="0.25">
      <c r="A113" s="5" t="s">
        <v>326</v>
      </c>
      <c r="B113" s="5" t="s">
        <v>176</v>
      </c>
      <c r="C113" s="5" t="s">
        <v>1368</v>
      </c>
      <c r="D113" s="6" t="s">
        <v>1369</v>
      </c>
      <c r="E113" s="6">
        <v>10</v>
      </c>
      <c r="F113" s="5" t="s">
        <v>327</v>
      </c>
      <c r="G113" s="5" t="s">
        <v>313</v>
      </c>
      <c r="H113" s="7">
        <v>56893</v>
      </c>
      <c r="I113" s="6" t="s">
        <v>17</v>
      </c>
    </row>
    <row r="114" spans="1:9" x14ac:dyDescent="0.25">
      <c r="A114" s="2" t="s">
        <v>527</v>
      </c>
      <c r="B114" s="2" t="s">
        <v>176</v>
      </c>
      <c r="C114" s="2" t="s">
        <v>1368</v>
      </c>
      <c r="D114" s="3" t="s">
        <v>1369</v>
      </c>
      <c r="E114" s="3">
        <v>11</v>
      </c>
      <c r="F114" s="2" t="s">
        <v>528</v>
      </c>
      <c r="G114" s="2" t="s">
        <v>529</v>
      </c>
      <c r="H114" s="4">
        <v>38016</v>
      </c>
      <c r="I114" s="3" t="s">
        <v>17</v>
      </c>
    </row>
    <row r="115" spans="1:9" x14ac:dyDescent="0.25">
      <c r="A115" s="8" t="s">
        <v>175</v>
      </c>
      <c r="B115" s="8" t="s">
        <v>176</v>
      </c>
      <c r="C115" s="8" t="s">
        <v>1368</v>
      </c>
      <c r="D115" s="9" t="s">
        <v>1369</v>
      </c>
      <c r="E115" s="9">
        <v>12</v>
      </c>
      <c r="F115" s="8" t="s">
        <v>177</v>
      </c>
      <c r="G115" s="8" t="s">
        <v>178</v>
      </c>
      <c r="H115" s="10">
        <v>160548</v>
      </c>
      <c r="I115" s="9" t="s">
        <v>33</v>
      </c>
    </row>
    <row r="116" spans="1:9" x14ac:dyDescent="0.25">
      <c r="A116" s="2" t="s">
        <v>992</v>
      </c>
      <c r="B116" s="2" t="s">
        <v>212</v>
      </c>
      <c r="C116" s="2" t="s">
        <v>1370</v>
      </c>
      <c r="D116" s="3" t="s">
        <v>1371</v>
      </c>
      <c r="E116" s="3">
        <v>1</v>
      </c>
      <c r="F116" s="2" t="s">
        <v>993</v>
      </c>
      <c r="G116" s="2" t="s">
        <v>206</v>
      </c>
      <c r="H116" s="4">
        <v>1521</v>
      </c>
      <c r="I116" s="3" t="s">
        <v>17</v>
      </c>
    </row>
    <row r="117" spans="1:9" x14ac:dyDescent="0.25">
      <c r="A117" s="5" t="s">
        <v>986</v>
      </c>
      <c r="B117" s="5" t="s">
        <v>212</v>
      </c>
      <c r="C117" s="5" t="s">
        <v>1370</v>
      </c>
      <c r="D117" s="6" t="s">
        <v>1371</v>
      </c>
      <c r="E117" s="6">
        <v>2</v>
      </c>
      <c r="F117" s="5" t="s">
        <v>987</v>
      </c>
      <c r="G117" s="5" t="s">
        <v>494</v>
      </c>
      <c r="H117" s="7">
        <v>5387</v>
      </c>
      <c r="I117" s="6" t="s">
        <v>17</v>
      </c>
    </row>
    <row r="118" spans="1:9" x14ac:dyDescent="0.25">
      <c r="A118" s="2" t="s">
        <v>994</v>
      </c>
      <c r="B118" s="2" t="s">
        <v>212</v>
      </c>
      <c r="C118" s="2" t="s">
        <v>1370</v>
      </c>
      <c r="D118" s="3" t="s">
        <v>1371</v>
      </c>
      <c r="E118" s="3">
        <v>3</v>
      </c>
      <c r="F118" s="2" t="s">
        <v>995</v>
      </c>
      <c r="G118" s="2" t="s">
        <v>875</v>
      </c>
      <c r="H118" s="4">
        <v>1365</v>
      </c>
      <c r="I118" s="3" t="s">
        <v>17</v>
      </c>
    </row>
    <row r="119" spans="1:9" x14ac:dyDescent="0.25">
      <c r="A119" s="5" t="s">
        <v>988</v>
      </c>
      <c r="B119" s="5" t="s">
        <v>212</v>
      </c>
      <c r="C119" s="5" t="s">
        <v>1370</v>
      </c>
      <c r="D119" s="6" t="s">
        <v>1371</v>
      </c>
      <c r="E119" s="6">
        <v>4</v>
      </c>
      <c r="F119" s="5" t="s">
        <v>989</v>
      </c>
      <c r="G119" s="5" t="s">
        <v>694</v>
      </c>
      <c r="H119" s="7">
        <v>3388</v>
      </c>
      <c r="I119" s="6" t="s">
        <v>17</v>
      </c>
    </row>
    <row r="120" spans="1:9" x14ac:dyDescent="0.25">
      <c r="A120" s="2" t="s">
        <v>983</v>
      </c>
      <c r="B120" s="2" t="s">
        <v>212</v>
      </c>
      <c r="C120" s="2" t="s">
        <v>1370</v>
      </c>
      <c r="D120" s="3" t="s">
        <v>1371</v>
      </c>
      <c r="E120" s="3">
        <v>5</v>
      </c>
      <c r="F120" s="2" t="s">
        <v>984</v>
      </c>
      <c r="G120" s="2" t="s">
        <v>985</v>
      </c>
      <c r="H120" s="4">
        <v>5790</v>
      </c>
      <c r="I120" s="3" t="s">
        <v>17</v>
      </c>
    </row>
    <row r="121" spans="1:9" x14ac:dyDescent="0.25">
      <c r="A121" s="5" t="s">
        <v>979</v>
      </c>
      <c r="B121" s="5" t="s">
        <v>212</v>
      </c>
      <c r="C121" s="5" t="s">
        <v>1370</v>
      </c>
      <c r="D121" s="6" t="s">
        <v>1371</v>
      </c>
      <c r="E121" s="6">
        <v>6</v>
      </c>
      <c r="F121" s="5" t="s">
        <v>980</v>
      </c>
      <c r="G121" s="5" t="s">
        <v>155</v>
      </c>
      <c r="H121" s="7">
        <v>9301</v>
      </c>
      <c r="I121" s="6" t="s">
        <v>17</v>
      </c>
    </row>
    <row r="122" spans="1:9" x14ac:dyDescent="0.25">
      <c r="A122" s="2" t="s">
        <v>542</v>
      </c>
      <c r="B122" s="2" t="s">
        <v>212</v>
      </c>
      <c r="C122" s="2" t="s">
        <v>1370</v>
      </c>
      <c r="D122" s="3" t="s">
        <v>1371</v>
      </c>
      <c r="E122" s="3">
        <v>7</v>
      </c>
      <c r="F122" s="2" t="s">
        <v>543</v>
      </c>
      <c r="G122" s="2" t="s">
        <v>382</v>
      </c>
      <c r="H122" s="4">
        <v>15856</v>
      </c>
      <c r="I122" s="3" t="s">
        <v>17</v>
      </c>
    </row>
    <row r="123" spans="1:9" x14ac:dyDescent="0.25">
      <c r="A123" s="5" t="s">
        <v>990</v>
      </c>
      <c r="B123" s="5" t="s">
        <v>212</v>
      </c>
      <c r="C123" s="5" t="s">
        <v>1370</v>
      </c>
      <c r="D123" s="6" t="s">
        <v>1371</v>
      </c>
      <c r="E123" s="6">
        <v>8</v>
      </c>
      <c r="F123" s="5" t="s">
        <v>991</v>
      </c>
      <c r="G123" s="5" t="s">
        <v>807</v>
      </c>
      <c r="H123" s="7">
        <v>2382</v>
      </c>
      <c r="I123" s="6" t="s">
        <v>17</v>
      </c>
    </row>
    <row r="124" spans="1:9" x14ac:dyDescent="0.25">
      <c r="A124" s="2" t="s">
        <v>981</v>
      </c>
      <c r="B124" s="2" t="s">
        <v>212</v>
      </c>
      <c r="C124" s="2" t="s">
        <v>1370</v>
      </c>
      <c r="D124" s="3" t="s">
        <v>1371</v>
      </c>
      <c r="E124" s="3">
        <v>9</v>
      </c>
      <c r="F124" s="2" t="s">
        <v>982</v>
      </c>
      <c r="G124" s="2" t="s">
        <v>925</v>
      </c>
      <c r="H124" s="4">
        <v>6144</v>
      </c>
      <c r="I124" s="3" t="s">
        <v>17</v>
      </c>
    </row>
    <row r="125" spans="1:9" x14ac:dyDescent="0.25">
      <c r="A125" s="5" t="s">
        <v>240</v>
      </c>
      <c r="B125" s="5" t="s">
        <v>212</v>
      </c>
      <c r="C125" s="5" t="s">
        <v>1370</v>
      </c>
      <c r="D125" s="6" t="s">
        <v>1371</v>
      </c>
      <c r="E125" s="6">
        <v>10</v>
      </c>
      <c r="F125" s="5" t="s">
        <v>241</v>
      </c>
      <c r="G125" s="5" t="s">
        <v>242</v>
      </c>
      <c r="H125" s="7">
        <v>44292</v>
      </c>
      <c r="I125" s="6" t="s">
        <v>17</v>
      </c>
    </row>
    <row r="126" spans="1:9" x14ac:dyDescent="0.25">
      <c r="A126" s="8" t="s">
        <v>373</v>
      </c>
      <c r="B126" s="8" t="s">
        <v>212</v>
      </c>
      <c r="C126" s="8" t="s">
        <v>1370</v>
      </c>
      <c r="D126" s="9" t="s">
        <v>1371</v>
      </c>
      <c r="E126" s="9">
        <v>11</v>
      </c>
      <c r="F126" s="8" t="s">
        <v>374</v>
      </c>
      <c r="G126" s="8" t="s">
        <v>375</v>
      </c>
      <c r="H126" s="10">
        <v>89753</v>
      </c>
      <c r="I126" s="9" t="s">
        <v>33</v>
      </c>
    </row>
    <row r="127" spans="1:9" x14ac:dyDescent="0.25">
      <c r="A127" s="5" t="s">
        <v>713</v>
      </c>
      <c r="B127" s="5" t="s">
        <v>212</v>
      </c>
      <c r="C127" s="5" t="s">
        <v>1370</v>
      </c>
      <c r="D127" s="6" t="s">
        <v>1371</v>
      </c>
      <c r="E127" s="6">
        <v>12</v>
      </c>
      <c r="F127" s="5" t="s">
        <v>714</v>
      </c>
      <c r="G127" s="5" t="s">
        <v>715</v>
      </c>
      <c r="H127" s="7">
        <v>11926</v>
      </c>
      <c r="I127" s="6" t="s">
        <v>17</v>
      </c>
    </row>
    <row r="128" spans="1:9" x14ac:dyDescent="0.25">
      <c r="A128" s="2" t="s">
        <v>727</v>
      </c>
      <c r="B128" s="2" t="s">
        <v>212</v>
      </c>
      <c r="C128" s="2" t="s">
        <v>1370</v>
      </c>
      <c r="D128" s="3" t="s">
        <v>1371</v>
      </c>
      <c r="E128" s="3">
        <v>13</v>
      </c>
      <c r="F128" s="2" t="s">
        <v>728</v>
      </c>
      <c r="G128" s="2" t="s">
        <v>729</v>
      </c>
      <c r="H128" s="4">
        <v>87424</v>
      </c>
      <c r="I128" s="3" t="s">
        <v>17</v>
      </c>
    </row>
    <row r="129" spans="1:9" x14ac:dyDescent="0.25">
      <c r="A129" s="5" t="s">
        <v>211</v>
      </c>
      <c r="B129" s="5" t="s">
        <v>212</v>
      </c>
      <c r="C129" s="5" t="s">
        <v>1370</v>
      </c>
      <c r="D129" s="6" t="s">
        <v>1371</v>
      </c>
      <c r="E129" s="6">
        <v>14</v>
      </c>
      <c r="F129" s="5" t="s">
        <v>213</v>
      </c>
      <c r="G129" s="5" t="s">
        <v>214</v>
      </c>
      <c r="H129" s="7">
        <v>12796</v>
      </c>
      <c r="I129" s="6" t="s">
        <v>17</v>
      </c>
    </row>
    <row r="130" spans="1:9" x14ac:dyDescent="0.25">
      <c r="A130" s="2" t="s">
        <v>996</v>
      </c>
      <c r="B130" s="2" t="s">
        <v>617</v>
      </c>
      <c r="C130" s="2" t="s">
        <v>1372</v>
      </c>
      <c r="D130" s="3" t="s">
        <v>1373</v>
      </c>
      <c r="E130" s="3">
        <v>1</v>
      </c>
      <c r="F130" s="2" t="s">
        <v>997</v>
      </c>
      <c r="G130" s="2" t="s">
        <v>998</v>
      </c>
      <c r="H130" s="4">
        <v>7585</v>
      </c>
      <c r="I130" s="3" t="s">
        <v>17</v>
      </c>
    </row>
    <row r="131" spans="1:9" x14ac:dyDescent="0.25">
      <c r="A131" s="5" t="s">
        <v>999</v>
      </c>
      <c r="B131" s="5" t="s">
        <v>617</v>
      </c>
      <c r="C131" s="5" t="s">
        <v>1372</v>
      </c>
      <c r="D131" s="6" t="s">
        <v>1373</v>
      </c>
      <c r="E131" s="6">
        <v>2</v>
      </c>
      <c r="F131" s="5" t="s">
        <v>1000</v>
      </c>
      <c r="G131" s="5" t="s">
        <v>743</v>
      </c>
      <c r="H131" s="7">
        <v>824</v>
      </c>
      <c r="I131" s="6" t="s">
        <v>17</v>
      </c>
    </row>
    <row r="132" spans="1:9" x14ac:dyDescent="0.25">
      <c r="A132" s="8" t="s">
        <v>665</v>
      </c>
      <c r="B132" s="8" t="s">
        <v>617</v>
      </c>
      <c r="C132" s="8" t="s">
        <v>1372</v>
      </c>
      <c r="D132" s="9" t="s">
        <v>1373</v>
      </c>
      <c r="E132" s="9">
        <v>3</v>
      </c>
      <c r="F132" s="8" t="s">
        <v>666</v>
      </c>
      <c r="G132" s="8" t="s">
        <v>667</v>
      </c>
      <c r="H132" s="10">
        <v>24279</v>
      </c>
      <c r="I132" s="9" t="s">
        <v>33</v>
      </c>
    </row>
    <row r="133" spans="1:9" x14ac:dyDescent="0.25">
      <c r="A133" s="5" t="s">
        <v>616</v>
      </c>
      <c r="B133" s="5" t="s">
        <v>617</v>
      </c>
      <c r="C133" s="5" t="s">
        <v>1372</v>
      </c>
      <c r="D133" s="6" t="s">
        <v>1373</v>
      </c>
      <c r="E133" s="6">
        <v>4</v>
      </c>
      <c r="F133" s="5" t="s">
        <v>618</v>
      </c>
      <c r="G133" s="5" t="s">
        <v>619</v>
      </c>
      <c r="H133" s="7">
        <v>20402</v>
      </c>
      <c r="I133" s="6" t="s">
        <v>17</v>
      </c>
    </row>
    <row r="134" spans="1:9" x14ac:dyDescent="0.25">
      <c r="A134" s="2" t="s">
        <v>748</v>
      </c>
      <c r="B134" s="2" t="s">
        <v>617</v>
      </c>
      <c r="C134" s="2" t="s">
        <v>1372</v>
      </c>
      <c r="D134" s="3" t="s">
        <v>1373</v>
      </c>
      <c r="E134" s="3">
        <v>5</v>
      </c>
      <c r="F134" s="2" t="s">
        <v>749</v>
      </c>
      <c r="G134" s="2" t="s">
        <v>750</v>
      </c>
      <c r="H134" s="4">
        <v>23129</v>
      </c>
      <c r="I134" s="3" t="s">
        <v>17</v>
      </c>
    </row>
    <row r="135" spans="1:9" x14ac:dyDescent="0.25">
      <c r="A135" s="8" t="s">
        <v>650</v>
      </c>
      <c r="B135" s="8" t="s">
        <v>651</v>
      </c>
      <c r="C135" s="8" t="s">
        <v>1354</v>
      </c>
      <c r="D135" s="9" t="s">
        <v>1374</v>
      </c>
      <c r="E135" s="9">
        <v>1</v>
      </c>
      <c r="F135" s="8" t="s">
        <v>652</v>
      </c>
      <c r="G135" s="8" t="s">
        <v>653</v>
      </c>
      <c r="H135" s="10">
        <v>46865</v>
      </c>
      <c r="I135" s="9" t="s">
        <v>33</v>
      </c>
    </row>
    <row r="136" spans="1:9" x14ac:dyDescent="0.25">
      <c r="A136" s="2" t="s">
        <v>1001</v>
      </c>
      <c r="B136" s="2" t="s">
        <v>651</v>
      </c>
      <c r="C136" s="2" t="s">
        <v>1354</v>
      </c>
      <c r="D136" s="3" t="s">
        <v>1374</v>
      </c>
      <c r="E136" s="3">
        <v>2</v>
      </c>
      <c r="F136" s="2" t="s">
        <v>1002</v>
      </c>
      <c r="G136" s="2" t="s">
        <v>835</v>
      </c>
      <c r="H136" s="4">
        <v>27702</v>
      </c>
      <c r="I136" s="3" t="s">
        <v>17</v>
      </c>
    </row>
    <row r="137" spans="1:9" x14ac:dyDescent="0.25">
      <c r="A137" s="5" t="s">
        <v>1005</v>
      </c>
      <c r="B137" s="5" t="s">
        <v>651</v>
      </c>
      <c r="C137" s="5" t="s">
        <v>1354</v>
      </c>
      <c r="D137" s="6" t="s">
        <v>1374</v>
      </c>
      <c r="E137" s="6">
        <v>3</v>
      </c>
      <c r="F137" s="5" t="s">
        <v>1006</v>
      </c>
      <c r="G137" s="5" t="s">
        <v>214</v>
      </c>
      <c r="H137" s="7">
        <v>15288</v>
      </c>
      <c r="I137" s="6" t="s">
        <v>17</v>
      </c>
    </row>
    <row r="138" spans="1:9" x14ac:dyDescent="0.25">
      <c r="A138" s="2" t="s">
        <v>1009</v>
      </c>
      <c r="B138" s="2" t="s">
        <v>651</v>
      </c>
      <c r="C138" s="2" t="s">
        <v>1354</v>
      </c>
      <c r="D138" s="3" t="s">
        <v>1374</v>
      </c>
      <c r="E138" s="3">
        <v>4</v>
      </c>
      <c r="F138" s="2" t="s">
        <v>1010</v>
      </c>
      <c r="G138" s="2" t="s">
        <v>1011</v>
      </c>
      <c r="H138" s="4">
        <v>11943</v>
      </c>
      <c r="I138" s="3" t="s">
        <v>17</v>
      </c>
    </row>
    <row r="139" spans="1:9" x14ac:dyDescent="0.25">
      <c r="A139" s="5" t="s">
        <v>1023</v>
      </c>
      <c r="B139" s="5" t="s">
        <v>347</v>
      </c>
      <c r="C139" s="5" t="s">
        <v>1358</v>
      </c>
      <c r="D139" s="6" t="s">
        <v>1375</v>
      </c>
      <c r="E139" s="6">
        <v>1</v>
      </c>
      <c r="F139" s="5" t="s">
        <v>1024</v>
      </c>
      <c r="G139" s="5" t="s">
        <v>953</v>
      </c>
      <c r="H139" s="7">
        <v>3</v>
      </c>
      <c r="I139" s="6" t="s">
        <v>17</v>
      </c>
    </row>
    <row r="140" spans="1:9" x14ac:dyDescent="0.25">
      <c r="A140" s="2" t="s">
        <v>1014</v>
      </c>
      <c r="B140" s="2" t="s">
        <v>347</v>
      </c>
      <c r="C140" s="2" t="s">
        <v>1358</v>
      </c>
      <c r="D140" s="3" t="s">
        <v>1375</v>
      </c>
      <c r="E140" s="3">
        <v>2</v>
      </c>
      <c r="F140" s="2" t="s">
        <v>1015</v>
      </c>
      <c r="G140" s="2" t="s">
        <v>1016</v>
      </c>
      <c r="H140" s="4">
        <v>6165</v>
      </c>
      <c r="I140" s="3" t="s">
        <v>17</v>
      </c>
    </row>
    <row r="141" spans="1:9" x14ac:dyDescent="0.25">
      <c r="A141" s="5" t="s">
        <v>1025</v>
      </c>
      <c r="B141" s="5" t="s">
        <v>347</v>
      </c>
      <c r="C141" s="5" t="s">
        <v>1358</v>
      </c>
      <c r="D141" s="6" t="s">
        <v>1375</v>
      </c>
      <c r="E141" s="6">
        <v>3</v>
      </c>
      <c r="F141" s="5" t="s">
        <v>1026</v>
      </c>
      <c r="G141" s="5" t="s">
        <v>214</v>
      </c>
      <c r="H141" s="7">
        <v>3</v>
      </c>
      <c r="I141" s="6" t="s">
        <v>17</v>
      </c>
    </row>
    <row r="142" spans="1:9" x14ac:dyDescent="0.25">
      <c r="A142" s="8" t="s">
        <v>408</v>
      </c>
      <c r="B142" s="8" t="s">
        <v>347</v>
      </c>
      <c r="C142" s="8" t="s">
        <v>1358</v>
      </c>
      <c r="D142" s="9" t="s">
        <v>1375</v>
      </c>
      <c r="E142" s="9">
        <v>4</v>
      </c>
      <c r="F142" s="8" t="s">
        <v>409</v>
      </c>
      <c r="G142" s="8" t="s">
        <v>410</v>
      </c>
      <c r="H142" s="10">
        <v>54352</v>
      </c>
      <c r="I142" s="9" t="s">
        <v>33</v>
      </c>
    </row>
    <row r="143" spans="1:9" x14ac:dyDescent="0.25">
      <c r="A143" s="5" t="s">
        <v>1021</v>
      </c>
      <c r="B143" s="5" t="s">
        <v>347</v>
      </c>
      <c r="C143" s="5" t="s">
        <v>1358</v>
      </c>
      <c r="D143" s="6" t="s">
        <v>1375</v>
      </c>
      <c r="E143" s="6">
        <v>5</v>
      </c>
      <c r="F143" s="5" t="s">
        <v>1022</v>
      </c>
      <c r="G143" s="5" t="s">
        <v>206</v>
      </c>
      <c r="H143" s="7">
        <v>5</v>
      </c>
      <c r="I143" s="6" t="s">
        <v>17</v>
      </c>
    </row>
    <row r="144" spans="1:9" x14ac:dyDescent="0.25">
      <c r="A144" s="2" t="s">
        <v>1019</v>
      </c>
      <c r="B144" s="2" t="s">
        <v>347</v>
      </c>
      <c r="C144" s="2" t="s">
        <v>1358</v>
      </c>
      <c r="D144" s="3" t="s">
        <v>1375</v>
      </c>
      <c r="E144" s="3">
        <v>6</v>
      </c>
      <c r="F144" s="2" t="s">
        <v>1020</v>
      </c>
      <c r="G144" s="2" t="s">
        <v>660</v>
      </c>
      <c r="H144" s="4">
        <v>3322</v>
      </c>
      <c r="I144" s="3" t="s">
        <v>17</v>
      </c>
    </row>
    <row r="145" spans="1:9" x14ac:dyDescent="0.25">
      <c r="A145" s="5" t="s">
        <v>346</v>
      </c>
      <c r="B145" s="5" t="s">
        <v>347</v>
      </c>
      <c r="C145" s="5" t="s">
        <v>1358</v>
      </c>
      <c r="D145" s="6" t="s">
        <v>1375</v>
      </c>
      <c r="E145" s="6">
        <v>7</v>
      </c>
      <c r="F145" s="5" t="s">
        <v>348</v>
      </c>
      <c r="G145" s="5" t="s">
        <v>349</v>
      </c>
      <c r="H145" s="7">
        <v>13127</v>
      </c>
      <c r="I145" s="6" t="s">
        <v>17</v>
      </c>
    </row>
    <row r="146" spans="1:9" x14ac:dyDescent="0.25">
      <c r="A146" s="2" t="s">
        <v>1017</v>
      </c>
      <c r="B146" s="2" t="s">
        <v>347</v>
      </c>
      <c r="C146" s="2" t="s">
        <v>1358</v>
      </c>
      <c r="D146" s="3" t="s">
        <v>1375</v>
      </c>
      <c r="E146" s="3">
        <v>8</v>
      </c>
      <c r="F146" s="2" t="s">
        <v>1018</v>
      </c>
      <c r="G146" s="2" t="s">
        <v>835</v>
      </c>
      <c r="H146" s="4">
        <v>4321</v>
      </c>
      <c r="I146" s="3" t="s">
        <v>17</v>
      </c>
    </row>
    <row r="147" spans="1:9" x14ac:dyDescent="0.25">
      <c r="A147" s="5" t="s">
        <v>1012</v>
      </c>
      <c r="B147" s="5" t="s">
        <v>347</v>
      </c>
      <c r="C147" s="5" t="s">
        <v>1358</v>
      </c>
      <c r="D147" s="6" t="s">
        <v>1375</v>
      </c>
      <c r="E147" s="6">
        <v>9</v>
      </c>
      <c r="F147" s="5" t="s">
        <v>1013</v>
      </c>
      <c r="G147" s="5" t="s">
        <v>235</v>
      </c>
      <c r="H147" s="7">
        <v>6458</v>
      </c>
      <c r="I147" s="6" t="s">
        <v>17</v>
      </c>
    </row>
    <row r="148" spans="1:9" x14ac:dyDescent="0.25">
      <c r="A148" s="2" t="s">
        <v>706</v>
      </c>
      <c r="B148" s="2" t="s">
        <v>347</v>
      </c>
      <c r="C148" s="2" t="s">
        <v>1358</v>
      </c>
      <c r="D148" s="3" t="s">
        <v>1375</v>
      </c>
      <c r="E148" s="3">
        <v>10</v>
      </c>
      <c r="F148" s="2" t="s">
        <v>707</v>
      </c>
      <c r="G148" s="2" t="s">
        <v>708</v>
      </c>
      <c r="H148" s="4">
        <v>31777</v>
      </c>
      <c r="I148" s="3" t="s">
        <v>17</v>
      </c>
    </row>
    <row r="149" spans="1:9" x14ac:dyDescent="0.25">
      <c r="A149" s="5" t="s">
        <v>367</v>
      </c>
      <c r="B149" s="5" t="s">
        <v>355</v>
      </c>
      <c r="C149" s="5" t="s">
        <v>1376</v>
      </c>
      <c r="D149" s="6" t="s">
        <v>1377</v>
      </c>
      <c r="E149" s="6">
        <v>1</v>
      </c>
      <c r="F149" s="5" t="s">
        <v>368</v>
      </c>
      <c r="G149" s="5" t="s">
        <v>16</v>
      </c>
      <c r="H149" s="7">
        <v>70364</v>
      </c>
      <c r="I149" s="6" t="s">
        <v>17</v>
      </c>
    </row>
    <row r="150" spans="1:9" x14ac:dyDescent="0.25">
      <c r="A150" s="2" t="s">
        <v>1029</v>
      </c>
      <c r="B150" s="2" t="s">
        <v>355</v>
      </c>
      <c r="C150" s="2" t="s">
        <v>1376</v>
      </c>
      <c r="D150" s="3" t="s">
        <v>1377</v>
      </c>
      <c r="E150" s="3">
        <v>2</v>
      </c>
      <c r="F150" s="2" t="s">
        <v>1030</v>
      </c>
      <c r="G150" s="2" t="s">
        <v>473</v>
      </c>
      <c r="H150" s="4">
        <v>5936</v>
      </c>
      <c r="I150" s="3" t="s">
        <v>17</v>
      </c>
    </row>
    <row r="151" spans="1:9" x14ac:dyDescent="0.25">
      <c r="A151" s="5" t="s">
        <v>658</v>
      </c>
      <c r="B151" s="5" t="s">
        <v>355</v>
      </c>
      <c r="C151" s="5" t="s">
        <v>1376</v>
      </c>
      <c r="D151" s="6" t="s">
        <v>1377</v>
      </c>
      <c r="E151" s="6">
        <v>3</v>
      </c>
      <c r="F151" s="5" t="s">
        <v>659</v>
      </c>
      <c r="G151" s="5" t="s">
        <v>660</v>
      </c>
      <c r="H151" s="7">
        <v>17461</v>
      </c>
      <c r="I151" s="6" t="s">
        <v>17</v>
      </c>
    </row>
    <row r="152" spans="1:9" x14ac:dyDescent="0.25">
      <c r="A152" s="2" t="s">
        <v>1031</v>
      </c>
      <c r="B152" s="2" t="s">
        <v>355</v>
      </c>
      <c r="C152" s="2" t="s">
        <v>1376</v>
      </c>
      <c r="D152" s="3" t="s">
        <v>1377</v>
      </c>
      <c r="E152" s="3">
        <v>4</v>
      </c>
      <c r="F152" s="2" t="s">
        <v>1032</v>
      </c>
      <c r="G152" s="2" t="s">
        <v>1033</v>
      </c>
      <c r="H152" s="4">
        <v>1458</v>
      </c>
      <c r="I152" s="3" t="s">
        <v>17</v>
      </c>
    </row>
    <row r="153" spans="1:9" x14ac:dyDescent="0.25">
      <c r="A153" s="5" t="s">
        <v>395</v>
      </c>
      <c r="B153" s="5" t="s">
        <v>355</v>
      </c>
      <c r="C153" s="5" t="s">
        <v>1376</v>
      </c>
      <c r="D153" s="6" t="s">
        <v>1377</v>
      </c>
      <c r="E153" s="6">
        <v>5</v>
      </c>
      <c r="F153" s="5" t="s">
        <v>396</v>
      </c>
      <c r="G153" s="5" t="s">
        <v>397</v>
      </c>
      <c r="H153" s="7">
        <v>11051</v>
      </c>
      <c r="I153" s="6" t="s">
        <v>17</v>
      </c>
    </row>
    <row r="154" spans="1:9" x14ac:dyDescent="0.25">
      <c r="A154" s="2" t="s">
        <v>521</v>
      </c>
      <c r="B154" s="2" t="s">
        <v>355</v>
      </c>
      <c r="C154" s="2" t="s">
        <v>1376</v>
      </c>
      <c r="D154" s="3" t="s">
        <v>1377</v>
      </c>
      <c r="E154" s="3">
        <v>6</v>
      </c>
      <c r="F154" s="2" t="s">
        <v>522</v>
      </c>
      <c r="G154" s="2" t="s">
        <v>494</v>
      </c>
      <c r="H154" s="4">
        <v>19912</v>
      </c>
      <c r="I154" s="3" t="s">
        <v>17</v>
      </c>
    </row>
    <row r="155" spans="1:9" x14ac:dyDescent="0.25">
      <c r="A155" s="8" t="s">
        <v>354</v>
      </c>
      <c r="B155" s="8" t="s">
        <v>355</v>
      </c>
      <c r="C155" s="8" t="s">
        <v>1376</v>
      </c>
      <c r="D155" s="9" t="s">
        <v>1377</v>
      </c>
      <c r="E155" s="9">
        <v>7</v>
      </c>
      <c r="F155" s="8" t="s">
        <v>356</v>
      </c>
      <c r="G155" s="8" t="s">
        <v>357</v>
      </c>
      <c r="H155" s="10">
        <v>74941</v>
      </c>
      <c r="I155" s="9" t="s">
        <v>33</v>
      </c>
    </row>
    <row r="156" spans="1:9" x14ac:dyDescent="0.25">
      <c r="A156" s="2" t="s">
        <v>1027</v>
      </c>
      <c r="B156" s="2" t="s">
        <v>355</v>
      </c>
      <c r="C156" s="2" t="s">
        <v>1376</v>
      </c>
      <c r="D156" s="3" t="s">
        <v>1377</v>
      </c>
      <c r="E156" s="3">
        <v>8</v>
      </c>
      <c r="F156" s="2" t="s">
        <v>1028</v>
      </c>
      <c r="G156" s="2" t="s">
        <v>743</v>
      </c>
      <c r="H156" s="4">
        <v>7299</v>
      </c>
      <c r="I156" s="3" t="s">
        <v>17</v>
      </c>
    </row>
    <row r="157" spans="1:9" x14ac:dyDescent="0.25">
      <c r="A157" s="5" t="s">
        <v>575</v>
      </c>
      <c r="B157" s="5" t="s">
        <v>355</v>
      </c>
      <c r="C157" s="5" t="s">
        <v>1376</v>
      </c>
      <c r="D157" s="6" t="s">
        <v>1377</v>
      </c>
      <c r="E157" s="6">
        <v>9</v>
      </c>
      <c r="F157" s="5" t="s">
        <v>576</v>
      </c>
      <c r="G157" s="5" t="s">
        <v>577</v>
      </c>
      <c r="H157" s="7">
        <v>15314</v>
      </c>
      <c r="I157" s="6" t="s">
        <v>17</v>
      </c>
    </row>
    <row r="158" spans="1:9" x14ac:dyDescent="0.25">
      <c r="A158" s="2" t="s">
        <v>1041</v>
      </c>
      <c r="B158" s="2" t="s">
        <v>168</v>
      </c>
      <c r="C158" s="2" t="s">
        <v>1354</v>
      </c>
      <c r="D158" s="3" t="s">
        <v>1378</v>
      </c>
      <c r="E158" s="3">
        <v>1</v>
      </c>
      <c r="F158" s="2" t="s">
        <v>1042</v>
      </c>
      <c r="G158" s="2" t="s">
        <v>660</v>
      </c>
      <c r="H158" s="4">
        <v>953</v>
      </c>
      <c r="I158" s="3" t="s">
        <v>17</v>
      </c>
    </row>
    <row r="159" spans="1:9" x14ac:dyDescent="0.25">
      <c r="A159" s="5" t="s">
        <v>699</v>
      </c>
      <c r="B159" s="5" t="s">
        <v>168</v>
      </c>
      <c r="C159" s="5" t="s">
        <v>1354</v>
      </c>
      <c r="D159" s="6" t="s">
        <v>1378</v>
      </c>
      <c r="E159" s="6">
        <v>2</v>
      </c>
      <c r="F159" s="5" t="s">
        <v>700</v>
      </c>
      <c r="G159" s="5" t="s">
        <v>701</v>
      </c>
      <c r="H159" s="7">
        <v>32304</v>
      </c>
      <c r="I159" s="6" t="s">
        <v>17</v>
      </c>
    </row>
    <row r="160" spans="1:9" x14ac:dyDescent="0.25">
      <c r="A160" s="8" t="s">
        <v>167</v>
      </c>
      <c r="B160" s="8" t="s">
        <v>168</v>
      </c>
      <c r="C160" s="8" t="s">
        <v>1354</v>
      </c>
      <c r="D160" s="9" t="s">
        <v>1378</v>
      </c>
      <c r="E160" s="9">
        <v>3</v>
      </c>
      <c r="F160" s="8" t="s">
        <v>169</v>
      </c>
      <c r="G160" s="8" t="s">
        <v>170</v>
      </c>
      <c r="H160" s="10">
        <v>45874</v>
      </c>
      <c r="I160" s="9" t="s">
        <v>33</v>
      </c>
    </row>
    <row r="161" spans="1:9" x14ac:dyDescent="0.25">
      <c r="A161" s="5" t="s">
        <v>1034</v>
      </c>
      <c r="B161" s="5" t="s">
        <v>168</v>
      </c>
      <c r="C161" s="5" t="s">
        <v>1354</v>
      </c>
      <c r="D161" s="6" t="s">
        <v>1378</v>
      </c>
      <c r="E161" s="6">
        <v>4</v>
      </c>
      <c r="F161" s="5" t="s">
        <v>1035</v>
      </c>
      <c r="G161" s="5" t="s">
        <v>1036</v>
      </c>
      <c r="H161" s="7">
        <v>4758</v>
      </c>
      <c r="I161" s="6" t="s">
        <v>17</v>
      </c>
    </row>
    <row r="162" spans="1:9" x14ac:dyDescent="0.25">
      <c r="A162" s="2" t="s">
        <v>471</v>
      </c>
      <c r="B162" s="2" t="s">
        <v>168</v>
      </c>
      <c r="C162" s="2" t="s">
        <v>1354</v>
      </c>
      <c r="D162" s="3" t="s">
        <v>1378</v>
      </c>
      <c r="E162" s="3">
        <v>5</v>
      </c>
      <c r="F162" s="2" t="s">
        <v>472</v>
      </c>
      <c r="G162" s="2" t="s">
        <v>473</v>
      </c>
      <c r="H162" s="4">
        <v>33894</v>
      </c>
      <c r="I162" s="3" t="s">
        <v>17</v>
      </c>
    </row>
    <row r="163" spans="1:9" x14ac:dyDescent="0.25">
      <c r="A163" s="5" t="s">
        <v>1043</v>
      </c>
      <c r="B163" s="5" t="s">
        <v>168</v>
      </c>
      <c r="C163" s="5" t="s">
        <v>1354</v>
      </c>
      <c r="D163" s="6" t="s">
        <v>1378</v>
      </c>
      <c r="E163" s="6">
        <v>6</v>
      </c>
      <c r="F163" s="5" t="s">
        <v>1044</v>
      </c>
      <c r="G163" s="5" t="s">
        <v>341</v>
      </c>
      <c r="H163" s="7">
        <v>412</v>
      </c>
      <c r="I163" s="6" t="s">
        <v>17</v>
      </c>
    </row>
    <row r="164" spans="1:9" x14ac:dyDescent="0.25">
      <c r="A164" s="2" t="s">
        <v>1037</v>
      </c>
      <c r="B164" s="2" t="s">
        <v>168</v>
      </c>
      <c r="C164" s="2" t="s">
        <v>1354</v>
      </c>
      <c r="D164" s="3" t="s">
        <v>1378</v>
      </c>
      <c r="E164" s="3">
        <v>7</v>
      </c>
      <c r="F164" s="2" t="s">
        <v>1038</v>
      </c>
      <c r="G164" s="2" t="s">
        <v>382</v>
      </c>
      <c r="H164" s="4">
        <v>3030</v>
      </c>
      <c r="I164" s="3" t="s">
        <v>17</v>
      </c>
    </row>
    <row r="165" spans="1:9" x14ac:dyDescent="0.25">
      <c r="A165" s="5" t="s">
        <v>1039</v>
      </c>
      <c r="B165" s="5" t="s">
        <v>168</v>
      </c>
      <c r="C165" s="5" t="s">
        <v>1354</v>
      </c>
      <c r="D165" s="6" t="s">
        <v>1378</v>
      </c>
      <c r="E165" s="6">
        <v>8</v>
      </c>
      <c r="F165" s="5" t="s">
        <v>1040</v>
      </c>
      <c r="G165" s="5" t="s">
        <v>155</v>
      </c>
      <c r="H165" s="7">
        <v>1669</v>
      </c>
      <c r="I165" s="6" t="s">
        <v>17</v>
      </c>
    </row>
    <row r="166" spans="1:9" x14ac:dyDescent="0.25">
      <c r="A166" s="8" t="s">
        <v>387</v>
      </c>
      <c r="B166" s="8" t="s">
        <v>388</v>
      </c>
      <c r="C166" s="8" t="s">
        <v>1379</v>
      </c>
      <c r="D166" s="9" t="s">
        <v>1380</v>
      </c>
      <c r="E166" s="9">
        <v>1</v>
      </c>
      <c r="F166" s="8" t="s">
        <v>389</v>
      </c>
      <c r="G166" s="8" t="s">
        <v>390</v>
      </c>
      <c r="H166" s="10">
        <v>118239</v>
      </c>
      <c r="I166" s="9" t="s">
        <v>33</v>
      </c>
    </row>
    <row r="167" spans="1:9" x14ac:dyDescent="0.25">
      <c r="A167" s="5" t="s">
        <v>1047</v>
      </c>
      <c r="B167" s="5" t="s">
        <v>388</v>
      </c>
      <c r="C167" s="5" t="s">
        <v>1379</v>
      </c>
      <c r="D167" s="6" t="s">
        <v>1380</v>
      </c>
      <c r="E167" s="6">
        <v>2</v>
      </c>
      <c r="F167" s="5" t="s">
        <v>1048</v>
      </c>
      <c r="G167" s="5" t="s">
        <v>743</v>
      </c>
      <c r="H167" s="7">
        <v>5697</v>
      </c>
      <c r="I167" s="6" t="s">
        <v>17</v>
      </c>
    </row>
    <row r="168" spans="1:9" x14ac:dyDescent="0.25">
      <c r="A168" s="2" t="s">
        <v>1056</v>
      </c>
      <c r="B168" s="2" t="s">
        <v>388</v>
      </c>
      <c r="C168" s="2" t="s">
        <v>1379</v>
      </c>
      <c r="D168" s="3" t="s">
        <v>1380</v>
      </c>
      <c r="E168" s="3">
        <v>3</v>
      </c>
      <c r="F168" s="2" t="s">
        <v>1057</v>
      </c>
      <c r="G168" s="2" t="s">
        <v>694</v>
      </c>
      <c r="H168" s="4">
        <v>2647</v>
      </c>
      <c r="I168" s="3" t="s">
        <v>17</v>
      </c>
    </row>
    <row r="169" spans="1:9" x14ac:dyDescent="0.25">
      <c r="A169" s="5" t="s">
        <v>1058</v>
      </c>
      <c r="B169" s="5" t="s">
        <v>388</v>
      </c>
      <c r="C169" s="5" t="s">
        <v>1379</v>
      </c>
      <c r="D169" s="6" t="s">
        <v>1380</v>
      </c>
      <c r="E169" s="6">
        <v>4</v>
      </c>
      <c r="F169" s="5" t="s">
        <v>1059</v>
      </c>
      <c r="G169" s="5" t="s">
        <v>341</v>
      </c>
      <c r="H169" s="7">
        <v>1193</v>
      </c>
      <c r="I169" s="6" t="s">
        <v>17</v>
      </c>
    </row>
    <row r="170" spans="1:9" x14ac:dyDescent="0.25">
      <c r="A170" s="2" t="s">
        <v>1045</v>
      </c>
      <c r="B170" s="2" t="s">
        <v>388</v>
      </c>
      <c r="C170" s="2" t="s">
        <v>1379</v>
      </c>
      <c r="D170" s="3" t="s">
        <v>1380</v>
      </c>
      <c r="E170" s="3">
        <v>5</v>
      </c>
      <c r="F170" s="2" t="s">
        <v>1046</v>
      </c>
      <c r="G170" s="2" t="s">
        <v>127</v>
      </c>
      <c r="H170" s="4">
        <v>8323</v>
      </c>
      <c r="I170" s="3" t="s">
        <v>17</v>
      </c>
    </row>
    <row r="171" spans="1:9" x14ac:dyDescent="0.25">
      <c r="A171" s="5" t="s">
        <v>1049</v>
      </c>
      <c r="B171" s="5" t="s">
        <v>388</v>
      </c>
      <c r="C171" s="5" t="s">
        <v>1379</v>
      </c>
      <c r="D171" s="6" t="s">
        <v>1380</v>
      </c>
      <c r="E171" s="6">
        <v>6</v>
      </c>
      <c r="F171" s="5" t="s">
        <v>1050</v>
      </c>
      <c r="G171" s="5" t="s">
        <v>812</v>
      </c>
      <c r="H171" s="7">
        <v>3835</v>
      </c>
      <c r="I171" s="6" t="s">
        <v>17</v>
      </c>
    </row>
    <row r="172" spans="1:9" x14ac:dyDescent="0.25">
      <c r="A172" s="2" t="s">
        <v>1053</v>
      </c>
      <c r="B172" s="2" t="s">
        <v>388</v>
      </c>
      <c r="C172" s="2" t="s">
        <v>1379</v>
      </c>
      <c r="D172" s="3" t="s">
        <v>1380</v>
      </c>
      <c r="E172" s="3">
        <v>7</v>
      </c>
      <c r="F172" s="2" t="s">
        <v>1054</v>
      </c>
      <c r="G172" s="2" t="s">
        <v>1055</v>
      </c>
      <c r="H172" s="4">
        <v>2792</v>
      </c>
      <c r="I172" s="3" t="s">
        <v>17</v>
      </c>
    </row>
    <row r="173" spans="1:9" x14ac:dyDescent="0.25">
      <c r="A173" s="5" t="s">
        <v>1060</v>
      </c>
      <c r="B173" s="5" t="s">
        <v>388</v>
      </c>
      <c r="C173" s="5" t="s">
        <v>1379</v>
      </c>
      <c r="D173" s="6" t="s">
        <v>1380</v>
      </c>
      <c r="E173" s="6">
        <v>8</v>
      </c>
      <c r="F173" s="5" t="s">
        <v>1061</v>
      </c>
      <c r="G173" s="5" t="s">
        <v>206</v>
      </c>
      <c r="H173" s="7">
        <v>969</v>
      </c>
      <c r="I173" s="6" t="s">
        <v>17</v>
      </c>
    </row>
    <row r="174" spans="1:9" x14ac:dyDescent="0.25">
      <c r="A174" s="2" t="s">
        <v>1051</v>
      </c>
      <c r="B174" s="2" t="s">
        <v>388</v>
      </c>
      <c r="C174" s="2" t="s">
        <v>1379</v>
      </c>
      <c r="D174" s="3" t="s">
        <v>1380</v>
      </c>
      <c r="E174" s="3">
        <v>9</v>
      </c>
      <c r="F174" s="2" t="s">
        <v>1052</v>
      </c>
      <c r="G174" s="2" t="s">
        <v>953</v>
      </c>
      <c r="H174" s="4">
        <v>3119</v>
      </c>
      <c r="I174" s="3" t="s">
        <v>17</v>
      </c>
    </row>
    <row r="175" spans="1:9" x14ac:dyDescent="0.25">
      <c r="A175" s="5" t="s">
        <v>637</v>
      </c>
      <c r="B175" s="5" t="s">
        <v>388</v>
      </c>
      <c r="C175" s="5" t="s">
        <v>1379</v>
      </c>
      <c r="D175" s="6" t="s">
        <v>1380</v>
      </c>
      <c r="E175" s="6">
        <v>10</v>
      </c>
      <c r="F175" s="5" t="s">
        <v>638</v>
      </c>
      <c r="G175" s="5" t="s">
        <v>639</v>
      </c>
      <c r="H175" s="7">
        <v>22577</v>
      </c>
      <c r="I175" s="6" t="s">
        <v>17</v>
      </c>
    </row>
    <row r="176" spans="1:9" x14ac:dyDescent="0.25">
      <c r="A176" s="8" t="s">
        <v>233</v>
      </c>
      <c r="B176" s="8" t="s">
        <v>22</v>
      </c>
      <c r="C176" s="8" t="s">
        <v>1354</v>
      </c>
      <c r="D176" s="9" t="s">
        <v>1381</v>
      </c>
      <c r="E176" s="9">
        <v>1</v>
      </c>
      <c r="F176" s="8" t="s">
        <v>234</v>
      </c>
      <c r="G176" s="8" t="s">
        <v>235</v>
      </c>
      <c r="H176" s="10">
        <v>697910</v>
      </c>
      <c r="I176" s="9" t="s">
        <v>33</v>
      </c>
    </row>
    <row r="177" spans="1:9" x14ac:dyDescent="0.25">
      <c r="A177" s="5" t="s">
        <v>1069</v>
      </c>
      <c r="B177" s="5" t="s">
        <v>22</v>
      </c>
      <c r="C177" s="5" t="s">
        <v>1354</v>
      </c>
      <c r="D177" s="6" t="s">
        <v>1381</v>
      </c>
      <c r="E177" s="6">
        <v>2</v>
      </c>
      <c r="F177" s="5" t="s">
        <v>1070</v>
      </c>
      <c r="G177" s="5" t="s">
        <v>1071</v>
      </c>
      <c r="H177" s="7">
        <v>3214</v>
      </c>
      <c r="I177" s="6" t="s">
        <v>17</v>
      </c>
    </row>
    <row r="178" spans="1:9" x14ac:dyDescent="0.25">
      <c r="A178" s="2" t="s">
        <v>1079</v>
      </c>
      <c r="B178" s="2" t="s">
        <v>22</v>
      </c>
      <c r="C178" s="2" t="s">
        <v>1354</v>
      </c>
      <c r="D178" s="3" t="s">
        <v>1381</v>
      </c>
      <c r="E178" s="3">
        <v>3</v>
      </c>
      <c r="F178" s="2" t="s">
        <v>1080</v>
      </c>
      <c r="G178" s="2" t="s">
        <v>1081</v>
      </c>
      <c r="H178" s="4">
        <v>1107</v>
      </c>
      <c r="I178" s="3" t="s">
        <v>17</v>
      </c>
    </row>
    <row r="179" spans="1:9" x14ac:dyDescent="0.25">
      <c r="A179" s="5" t="s">
        <v>679</v>
      </c>
      <c r="B179" s="5" t="s">
        <v>22</v>
      </c>
      <c r="C179" s="5" t="s">
        <v>1354</v>
      </c>
      <c r="D179" s="6" t="s">
        <v>1381</v>
      </c>
      <c r="E179" s="6">
        <v>4</v>
      </c>
      <c r="F179" s="5" t="s">
        <v>680</v>
      </c>
      <c r="G179" s="5" t="s">
        <v>127</v>
      </c>
      <c r="H179" s="7">
        <v>10707</v>
      </c>
      <c r="I179" s="6" t="s">
        <v>17</v>
      </c>
    </row>
    <row r="180" spans="1:9" x14ac:dyDescent="0.25">
      <c r="A180" s="2" t="s">
        <v>1062</v>
      </c>
      <c r="B180" s="2" t="s">
        <v>22</v>
      </c>
      <c r="C180" s="2" t="s">
        <v>1354</v>
      </c>
      <c r="D180" s="3" t="s">
        <v>1381</v>
      </c>
      <c r="E180" s="3">
        <v>5</v>
      </c>
      <c r="F180" s="2" t="s">
        <v>1063</v>
      </c>
      <c r="G180" s="2" t="s">
        <v>1064</v>
      </c>
      <c r="H180" s="4">
        <v>6370</v>
      </c>
      <c r="I180" s="3" t="s">
        <v>17</v>
      </c>
    </row>
    <row r="181" spans="1:9" x14ac:dyDescent="0.25">
      <c r="A181" s="5" t="s">
        <v>1067</v>
      </c>
      <c r="B181" s="5" t="s">
        <v>22</v>
      </c>
      <c r="C181" s="5" t="s">
        <v>1354</v>
      </c>
      <c r="D181" s="6" t="s">
        <v>1381</v>
      </c>
      <c r="E181" s="6">
        <v>6</v>
      </c>
      <c r="F181" s="5" t="s">
        <v>1068</v>
      </c>
      <c r="G181" s="5" t="s">
        <v>743</v>
      </c>
      <c r="H181" s="7">
        <v>3944</v>
      </c>
      <c r="I181" s="6" t="s">
        <v>17</v>
      </c>
    </row>
    <row r="182" spans="1:9" x14ac:dyDescent="0.25">
      <c r="A182" s="2" t="s">
        <v>1065</v>
      </c>
      <c r="B182" s="2" t="s">
        <v>22</v>
      </c>
      <c r="C182" s="2" t="s">
        <v>1354</v>
      </c>
      <c r="D182" s="3" t="s">
        <v>1381</v>
      </c>
      <c r="E182" s="3">
        <v>7</v>
      </c>
      <c r="F182" s="2" t="s">
        <v>1066</v>
      </c>
      <c r="G182" s="2" t="s">
        <v>206</v>
      </c>
      <c r="H182" s="4">
        <v>4172</v>
      </c>
      <c r="I182" s="3" t="s">
        <v>17</v>
      </c>
    </row>
    <row r="183" spans="1:9" x14ac:dyDescent="0.25">
      <c r="A183" s="5" t="s">
        <v>1077</v>
      </c>
      <c r="B183" s="5" t="s">
        <v>22</v>
      </c>
      <c r="C183" s="5" t="s">
        <v>1354</v>
      </c>
      <c r="D183" s="6" t="s">
        <v>1381</v>
      </c>
      <c r="E183" s="6">
        <v>8</v>
      </c>
      <c r="F183" s="5" t="s">
        <v>1078</v>
      </c>
      <c r="G183" s="5" t="s">
        <v>563</v>
      </c>
      <c r="H183" s="7">
        <v>1714</v>
      </c>
      <c r="I183" s="6" t="s">
        <v>17</v>
      </c>
    </row>
    <row r="184" spans="1:9" x14ac:dyDescent="0.25">
      <c r="A184" s="2" t="s">
        <v>1072</v>
      </c>
      <c r="B184" s="2" t="s">
        <v>22</v>
      </c>
      <c r="C184" s="2" t="s">
        <v>1354</v>
      </c>
      <c r="D184" s="3" t="s">
        <v>1381</v>
      </c>
      <c r="E184" s="3">
        <v>9</v>
      </c>
      <c r="F184" s="2" t="s">
        <v>1073</v>
      </c>
      <c r="G184" s="2" t="s">
        <v>1074</v>
      </c>
      <c r="H184" s="4">
        <v>2749</v>
      </c>
      <c r="I184" s="3" t="s">
        <v>17</v>
      </c>
    </row>
    <row r="185" spans="1:9" x14ac:dyDescent="0.25">
      <c r="A185" s="5" t="s">
        <v>21</v>
      </c>
      <c r="B185" s="5" t="s">
        <v>22</v>
      </c>
      <c r="C185" s="5" t="s">
        <v>1354</v>
      </c>
      <c r="D185" s="6" t="s">
        <v>1381</v>
      </c>
      <c r="E185" s="6">
        <v>10</v>
      </c>
      <c r="F185" s="5" t="s">
        <v>23</v>
      </c>
      <c r="G185" s="5" t="s">
        <v>24</v>
      </c>
      <c r="H185" s="7">
        <v>27261</v>
      </c>
      <c r="I185" s="6" t="s">
        <v>17</v>
      </c>
    </row>
    <row r="186" spans="1:9" x14ac:dyDescent="0.25">
      <c r="A186" s="2" t="s">
        <v>630</v>
      </c>
      <c r="B186" s="2" t="s">
        <v>22</v>
      </c>
      <c r="C186" s="2" t="s">
        <v>1354</v>
      </c>
      <c r="D186" s="3" t="s">
        <v>1381</v>
      </c>
      <c r="E186" s="3">
        <v>11</v>
      </c>
      <c r="F186" s="2" t="s">
        <v>631</v>
      </c>
      <c r="G186" s="2" t="s">
        <v>632</v>
      </c>
      <c r="H186" s="4">
        <v>12836</v>
      </c>
      <c r="I186" s="3" t="s">
        <v>17</v>
      </c>
    </row>
    <row r="187" spans="1:9" x14ac:dyDescent="0.25">
      <c r="A187" s="5" t="s">
        <v>443</v>
      </c>
      <c r="B187" s="5" t="s">
        <v>22</v>
      </c>
      <c r="C187" s="5" t="s">
        <v>1354</v>
      </c>
      <c r="D187" s="6" t="s">
        <v>1381</v>
      </c>
      <c r="E187" s="6">
        <v>12</v>
      </c>
      <c r="F187" s="5" t="s">
        <v>444</v>
      </c>
      <c r="G187" s="5" t="s">
        <v>155</v>
      </c>
      <c r="H187" s="7">
        <v>95883</v>
      </c>
      <c r="I187" s="6" t="s">
        <v>17</v>
      </c>
    </row>
    <row r="188" spans="1:9" x14ac:dyDescent="0.25">
      <c r="A188" s="2" t="s">
        <v>1075</v>
      </c>
      <c r="B188" s="2" t="s">
        <v>22</v>
      </c>
      <c r="C188" s="2" t="s">
        <v>1354</v>
      </c>
      <c r="D188" s="3" t="s">
        <v>1381</v>
      </c>
      <c r="E188" s="3">
        <v>13</v>
      </c>
      <c r="F188" s="2" t="s">
        <v>1076</v>
      </c>
      <c r="G188" s="2" t="s">
        <v>80</v>
      </c>
      <c r="H188" s="4">
        <v>2676</v>
      </c>
      <c r="I188" s="3" t="s">
        <v>17</v>
      </c>
    </row>
    <row r="189" spans="1:9" x14ac:dyDescent="0.25">
      <c r="A189" s="5" t="s">
        <v>755</v>
      </c>
      <c r="B189" s="5" t="s">
        <v>22</v>
      </c>
      <c r="C189" s="5" t="s">
        <v>1354</v>
      </c>
      <c r="D189" s="6" t="s">
        <v>1381</v>
      </c>
      <c r="E189" s="6">
        <v>14</v>
      </c>
      <c r="F189" s="5" t="s">
        <v>756</v>
      </c>
      <c r="G189" s="5" t="s">
        <v>382</v>
      </c>
      <c r="H189" s="7">
        <v>11776</v>
      </c>
      <c r="I189" s="6" t="s">
        <v>17</v>
      </c>
    </row>
    <row r="190" spans="1:9" x14ac:dyDescent="0.25">
      <c r="A190" s="2" t="s">
        <v>1093</v>
      </c>
      <c r="B190" s="2" t="s">
        <v>457</v>
      </c>
      <c r="C190" s="2" t="s">
        <v>1382</v>
      </c>
      <c r="D190" s="3" t="s">
        <v>1383</v>
      </c>
      <c r="E190" s="3">
        <v>1</v>
      </c>
      <c r="F190" s="2" t="s">
        <v>1094</v>
      </c>
      <c r="G190" s="2" t="s">
        <v>694</v>
      </c>
      <c r="H190" s="4">
        <v>293</v>
      </c>
      <c r="I190" s="3" t="s">
        <v>17</v>
      </c>
    </row>
    <row r="191" spans="1:9" x14ac:dyDescent="0.25">
      <c r="A191" s="5" t="s">
        <v>1088</v>
      </c>
      <c r="B191" s="5" t="s">
        <v>457</v>
      </c>
      <c r="C191" s="5" t="s">
        <v>1382</v>
      </c>
      <c r="D191" s="6" t="s">
        <v>1383</v>
      </c>
      <c r="E191" s="6">
        <v>2</v>
      </c>
      <c r="F191" s="5" t="s">
        <v>1089</v>
      </c>
      <c r="G191" s="5" t="s">
        <v>206</v>
      </c>
      <c r="H191" s="7">
        <v>771</v>
      </c>
      <c r="I191" s="6" t="s">
        <v>17</v>
      </c>
    </row>
    <row r="192" spans="1:9" x14ac:dyDescent="0.25">
      <c r="A192" s="2" t="s">
        <v>1082</v>
      </c>
      <c r="B192" s="2" t="s">
        <v>457</v>
      </c>
      <c r="C192" s="2" t="s">
        <v>1382</v>
      </c>
      <c r="D192" s="3" t="s">
        <v>1383</v>
      </c>
      <c r="E192" s="3">
        <v>3</v>
      </c>
      <c r="F192" s="2" t="s">
        <v>1083</v>
      </c>
      <c r="G192" s="2" t="s">
        <v>382</v>
      </c>
      <c r="H192" s="4">
        <v>5637</v>
      </c>
      <c r="I192" s="3" t="s">
        <v>17</v>
      </c>
    </row>
    <row r="193" spans="1:9" x14ac:dyDescent="0.25">
      <c r="A193" s="5" t="s">
        <v>1090</v>
      </c>
      <c r="B193" s="5" t="s">
        <v>457</v>
      </c>
      <c r="C193" s="5" t="s">
        <v>1382</v>
      </c>
      <c r="D193" s="6" t="s">
        <v>1383</v>
      </c>
      <c r="E193" s="6">
        <v>4</v>
      </c>
      <c r="F193" s="5" t="s">
        <v>1091</v>
      </c>
      <c r="G193" s="5" t="s">
        <v>1092</v>
      </c>
      <c r="H193" s="7">
        <v>503</v>
      </c>
      <c r="I193" s="6" t="s">
        <v>17</v>
      </c>
    </row>
    <row r="194" spans="1:9" x14ac:dyDescent="0.25">
      <c r="A194" s="2" t="s">
        <v>1086</v>
      </c>
      <c r="B194" s="2" t="s">
        <v>457</v>
      </c>
      <c r="C194" s="2" t="s">
        <v>1382</v>
      </c>
      <c r="D194" s="3" t="s">
        <v>1383</v>
      </c>
      <c r="E194" s="3">
        <v>5</v>
      </c>
      <c r="F194" s="2" t="s">
        <v>1087</v>
      </c>
      <c r="G194" s="2" t="s">
        <v>199</v>
      </c>
      <c r="H194" s="4">
        <v>1200</v>
      </c>
      <c r="I194" s="3" t="s">
        <v>17</v>
      </c>
    </row>
    <row r="195" spans="1:9" x14ac:dyDescent="0.25">
      <c r="A195" s="5" t="s">
        <v>609</v>
      </c>
      <c r="B195" s="5" t="s">
        <v>457</v>
      </c>
      <c r="C195" s="5" t="s">
        <v>1382</v>
      </c>
      <c r="D195" s="6" t="s">
        <v>1383</v>
      </c>
      <c r="E195" s="6">
        <v>6</v>
      </c>
      <c r="F195" s="5" t="s">
        <v>610</v>
      </c>
      <c r="G195" s="5" t="s">
        <v>611</v>
      </c>
      <c r="H195" s="7">
        <v>88383</v>
      </c>
      <c r="I195" s="6" t="s">
        <v>17</v>
      </c>
    </row>
    <row r="196" spans="1:9" x14ac:dyDescent="0.25">
      <c r="A196" s="2" t="s">
        <v>1084</v>
      </c>
      <c r="B196" s="2" t="s">
        <v>457</v>
      </c>
      <c r="C196" s="2" t="s">
        <v>1382</v>
      </c>
      <c r="D196" s="3" t="s">
        <v>1383</v>
      </c>
      <c r="E196" s="3">
        <v>7</v>
      </c>
      <c r="F196" s="2" t="s">
        <v>1085</v>
      </c>
      <c r="G196" s="2" t="s">
        <v>875</v>
      </c>
      <c r="H196" s="4">
        <v>4376</v>
      </c>
      <c r="I196" s="3" t="s">
        <v>17</v>
      </c>
    </row>
    <row r="197" spans="1:9" x14ac:dyDescent="0.25">
      <c r="A197" s="8" t="s">
        <v>456</v>
      </c>
      <c r="B197" s="8" t="s">
        <v>457</v>
      </c>
      <c r="C197" s="8" t="s">
        <v>1382</v>
      </c>
      <c r="D197" s="9" t="s">
        <v>1383</v>
      </c>
      <c r="E197" s="9">
        <v>8</v>
      </c>
      <c r="F197" s="8" t="s">
        <v>458</v>
      </c>
      <c r="G197" s="8" t="s">
        <v>459</v>
      </c>
      <c r="H197" s="10">
        <v>115657</v>
      </c>
      <c r="I197" s="9" t="s">
        <v>33</v>
      </c>
    </row>
    <row r="198" spans="1:9" x14ac:dyDescent="0.25">
      <c r="A198" s="2" t="s">
        <v>1095</v>
      </c>
      <c r="B198" s="2" t="s">
        <v>255</v>
      </c>
      <c r="C198" s="2" t="s">
        <v>1384</v>
      </c>
      <c r="D198" s="3" t="s">
        <v>1385</v>
      </c>
      <c r="E198" s="3">
        <v>1</v>
      </c>
      <c r="F198" s="2" t="s">
        <v>1096</v>
      </c>
      <c r="G198" s="2" t="s">
        <v>96</v>
      </c>
      <c r="H198" s="4">
        <v>18556</v>
      </c>
      <c r="I198" s="3" t="s">
        <v>17</v>
      </c>
    </row>
    <row r="199" spans="1:9" x14ac:dyDescent="0.25">
      <c r="A199" s="5" t="s">
        <v>507</v>
      </c>
      <c r="B199" s="5" t="s">
        <v>255</v>
      </c>
      <c r="C199" s="5" t="s">
        <v>1384</v>
      </c>
      <c r="D199" s="6" t="s">
        <v>1385</v>
      </c>
      <c r="E199" s="6">
        <v>2</v>
      </c>
      <c r="F199" s="5" t="s">
        <v>508</v>
      </c>
      <c r="G199" s="5" t="s">
        <v>473</v>
      </c>
      <c r="H199" s="7">
        <v>12111</v>
      </c>
      <c r="I199" s="6" t="s">
        <v>17</v>
      </c>
    </row>
    <row r="200" spans="1:9" x14ac:dyDescent="0.25">
      <c r="A200" s="2" t="s">
        <v>1113</v>
      </c>
      <c r="B200" s="2" t="s">
        <v>255</v>
      </c>
      <c r="C200" s="2" t="s">
        <v>1384</v>
      </c>
      <c r="D200" s="3" t="s">
        <v>1385</v>
      </c>
      <c r="E200" s="3">
        <v>3</v>
      </c>
      <c r="F200" s="2" t="s">
        <v>1114</v>
      </c>
      <c r="G200" s="2" t="s">
        <v>953</v>
      </c>
      <c r="H200" s="4">
        <v>889</v>
      </c>
      <c r="I200" s="3" t="s">
        <v>17</v>
      </c>
    </row>
    <row r="201" spans="1:9" x14ac:dyDescent="0.25">
      <c r="A201" s="5" t="s">
        <v>1104</v>
      </c>
      <c r="B201" s="5" t="s">
        <v>255</v>
      </c>
      <c r="C201" s="5" t="s">
        <v>1384</v>
      </c>
      <c r="D201" s="6" t="s">
        <v>1385</v>
      </c>
      <c r="E201" s="6">
        <v>4</v>
      </c>
      <c r="F201" s="5" t="s">
        <v>1105</v>
      </c>
      <c r="G201" s="5" t="s">
        <v>1106</v>
      </c>
      <c r="H201" s="7">
        <v>12722</v>
      </c>
      <c r="I201" s="6" t="s">
        <v>17</v>
      </c>
    </row>
    <row r="202" spans="1:9" x14ac:dyDescent="0.25">
      <c r="A202" s="2" t="s">
        <v>1115</v>
      </c>
      <c r="B202" s="2" t="s">
        <v>255</v>
      </c>
      <c r="C202" s="2" t="s">
        <v>1384</v>
      </c>
      <c r="D202" s="3" t="s">
        <v>1385</v>
      </c>
      <c r="E202" s="3">
        <v>5</v>
      </c>
      <c r="F202" s="2" t="s">
        <v>1116</v>
      </c>
      <c r="G202" s="2" t="s">
        <v>206</v>
      </c>
      <c r="H202" s="4">
        <v>642</v>
      </c>
      <c r="I202" s="3" t="s">
        <v>17</v>
      </c>
    </row>
    <row r="203" spans="1:9" x14ac:dyDescent="0.25">
      <c r="A203" s="5" t="s">
        <v>775</v>
      </c>
      <c r="B203" s="5" t="s">
        <v>255</v>
      </c>
      <c r="C203" s="5" t="s">
        <v>1384</v>
      </c>
      <c r="D203" s="6" t="s">
        <v>1385</v>
      </c>
      <c r="E203" s="6">
        <v>6</v>
      </c>
      <c r="F203" s="5" t="s">
        <v>776</v>
      </c>
      <c r="G203" s="5" t="s">
        <v>777</v>
      </c>
      <c r="H203" s="7">
        <v>13176</v>
      </c>
      <c r="I203" s="6" t="s">
        <v>17</v>
      </c>
    </row>
    <row r="204" spans="1:9" x14ac:dyDescent="0.25">
      <c r="A204" s="8" t="s">
        <v>254</v>
      </c>
      <c r="B204" s="8" t="s">
        <v>255</v>
      </c>
      <c r="C204" s="8" t="s">
        <v>1384</v>
      </c>
      <c r="D204" s="9" t="s">
        <v>1385</v>
      </c>
      <c r="E204" s="9">
        <v>7</v>
      </c>
      <c r="F204" s="8" t="s">
        <v>256</v>
      </c>
      <c r="G204" s="8" t="s">
        <v>257</v>
      </c>
      <c r="H204" s="10">
        <v>57058</v>
      </c>
      <c r="I204" s="9" t="s">
        <v>33</v>
      </c>
    </row>
    <row r="205" spans="1:9" x14ac:dyDescent="0.25">
      <c r="A205" s="5" t="s">
        <v>1099</v>
      </c>
      <c r="B205" s="5" t="s">
        <v>255</v>
      </c>
      <c r="C205" s="5" t="s">
        <v>1384</v>
      </c>
      <c r="D205" s="6" t="s">
        <v>1385</v>
      </c>
      <c r="E205" s="6">
        <v>8</v>
      </c>
      <c r="F205" s="5" t="s">
        <v>1100</v>
      </c>
      <c r="G205" s="5" t="s">
        <v>1101</v>
      </c>
      <c r="H205" s="7">
        <v>14453</v>
      </c>
      <c r="I205" s="6" t="s">
        <v>17</v>
      </c>
    </row>
    <row r="206" spans="1:9" x14ac:dyDescent="0.25">
      <c r="A206" s="2" t="s">
        <v>1110</v>
      </c>
      <c r="B206" s="2" t="s">
        <v>255</v>
      </c>
      <c r="C206" s="2" t="s">
        <v>1384</v>
      </c>
      <c r="D206" s="3" t="s">
        <v>1385</v>
      </c>
      <c r="E206" s="3">
        <v>9</v>
      </c>
      <c r="F206" s="2" t="s">
        <v>1111</v>
      </c>
      <c r="G206" s="2" t="s">
        <v>1112</v>
      </c>
      <c r="H206" s="4">
        <v>12081</v>
      </c>
      <c r="I206" s="3" t="s">
        <v>17</v>
      </c>
    </row>
    <row r="207" spans="1:9" x14ac:dyDescent="0.25">
      <c r="A207" s="5" t="s">
        <v>1121</v>
      </c>
      <c r="B207" s="5" t="s">
        <v>270</v>
      </c>
      <c r="C207" s="5" t="s">
        <v>1365</v>
      </c>
      <c r="D207" s="6" t="s">
        <v>1386</v>
      </c>
      <c r="E207" s="6">
        <v>1</v>
      </c>
      <c r="F207" s="5" t="s">
        <v>1122</v>
      </c>
      <c r="G207" s="5" t="s">
        <v>206</v>
      </c>
      <c r="H207" s="7">
        <v>2601</v>
      </c>
      <c r="I207" s="6" t="s">
        <v>17</v>
      </c>
    </row>
    <row r="208" spans="1:9" x14ac:dyDescent="0.25">
      <c r="A208" s="2" t="s">
        <v>1119</v>
      </c>
      <c r="B208" s="2" t="s">
        <v>270</v>
      </c>
      <c r="C208" s="2" t="s">
        <v>1365</v>
      </c>
      <c r="D208" s="3" t="s">
        <v>1386</v>
      </c>
      <c r="E208" s="3">
        <v>2</v>
      </c>
      <c r="F208" s="2" t="s">
        <v>1120</v>
      </c>
      <c r="G208" s="2" t="s">
        <v>127</v>
      </c>
      <c r="H208" s="4">
        <v>4018</v>
      </c>
      <c r="I208" s="3" t="s">
        <v>17</v>
      </c>
    </row>
    <row r="209" spans="1:9" x14ac:dyDescent="0.25">
      <c r="A209" s="5" t="s">
        <v>269</v>
      </c>
      <c r="B209" s="5" t="s">
        <v>270</v>
      </c>
      <c r="C209" s="5" t="s">
        <v>1365</v>
      </c>
      <c r="D209" s="6" t="s">
        <v>1386</v>
      </c>
      <c r="E209" s="6">
        <v>3</v>
      </c>
      <c r="F209" s="5" t="s">
        <v>271</v>
      </c>
      <c r="G209" s="5" t="s">
        <v>272</v>
      </c>
      <c r="H209" s="7">
        <v>37368</v>
      </c>
      <c r="I209" s="6" t="s">
        <v>17</v>
      </c>
    </row>
    <row r="210" spans="1:9" x14ac:dyDescent="0.25">
      <c r="A210" s="2" t="s">
        <v>1127</v>
      </c>
      <c r="B210" s="2" t="s">
        <v>270</v>
      </c>
      <c r="C210" s="2" t="s">
        <v>1365</v>
      </c>
      <c r="D210" s="3" t="s">
        <v>1386</v>
      </c>
      <c r="E210" s="3">
        <v>4</v>
      </c>
      <c r="F210" s="2" t="s">
        <v>1128</v>
      </c>
      <c r="G210" s="2" t="s">
        <v>896</v>
      </c>
      <c r="H210" s="4">
        <v>872</v>
      </c>
      <c r="I210" s="3" t="s">
        <v>17</v>
      </c>
    </row>
    <row r="211" spans="1:9" x14ac:dyDescent="0.25">
      <c r="A211" s="5" t="s">
        <v>1117</v>
      </c>
      <c r="B211" s="5" t="s">
        <v>270</v>
      </c>
      <c r="C211" s="5" t="s">
        <v>1365</v>
      </c>
      <c r="D211" s="6" t="s">
        <v>1386</v>
      </c>
      <c r="E211" s="6">
        <v>5</v>
      </c>
      <c r="F211" s="5" t="s">
        <v>1118</v>
      </c>
      <c r="G211" s="5" t="s">
        <v>563</v>
      </c>
      <c r="H211" s="7">
        <v>5044</v>
      </c>
      <c r="I211" s="6" t="s">
        <v>17</v>
      </c>
    </row>
    <row r="212" spans="1:9" x14ac:dyDescent="0.25">
      <c r="A212" s="2" t="s">
        <v>1123</v>
      </c>
      <c r="B212" s="2" t="s">
        <v>270</v>
      </c>
      <c r="C212" s="2" t="s">
        <v>1365</v>
      </c>
      <c r="D212" s="3" t="s">
        <v>1386</v>
      </c>
      <c r="E212" s="3">
        <v>6</v>
      </c>
      <c r="F212" s="2" t="s">
        <v>1124</v>
      </c>
      <c r="G212" s="2" t="s">
        <v>812</v>
      </c>
      <c r="H212" s="4">
        <v>2369</v>
      </c>
      <c r="I212" s="3" t="s">
        <v>17</v>
      </c>
    </row>
    <row r="213" spans="1:9" x14ac:dyDescent="0.25">
      <c r="A213" s="8" t="s">
        <v>768</v>
      </c>
      <c r="B213" s="8" t="s">
        <v>270</v>
      </c>
      <c r="C213" s="8" t="s">
        <v>1365</v>
      </c>
      <c r="D213" s="9" t="s">
        <v>1386</v>
      </c>
      <c r="E213" s="9">
        <v>7</v>
      </c>
      <c r="F213" s="8" t="s">
        <v>769</v>
      </c>
      <c r="G213" s="8" t="s">
        <v>770</v>
      </c>
      <c r="H213" s="10">
        <v>57408</v>
      </c>
      <c r="I213" s="9" t="s">
        <v>33</v>
      </c>
    </row>
    <row r="214" spans="1:9" x14ac:dyDescent="0.25">
      <c r="A214" s="2" t="s">
        <v>1129</v>
      </c>
      <c r="B214" s="2" t="s">
        <v>270</v>
      </c>
      <c r="C214" s="2" t="s">
        <v>1365</v>
      </c>
      <c r="D214" s="3" t="s">
        <v>1386</v>
      </c>
      <c r="E214" s="3">
        <v>8</v>
      </c>
      <c r="F214" s="2" t="s">
        <v>1130</v>
      </c>
      <c r="G214" s="2" t="s">
        <v>953</v>
      </c>
      <c r="H214" s="4">
        <v>640</v>
      </c>
      <c r="I214" s="3" t="s">
        <v>17</v>
      </c>
    </row>
    <row r="215" spans="1:9" x14ac:dyDescent="0.25">
      <c r="A215" s="5" t="s">
        <v>464</v>
      </c>
      <c r="B215" s="5" t="s">
        <v>270</v>
      </c>
      <c r="C215" s="5" t="s">
        <v>1365</v>
      </c>
      <c r="D215" s="6" t="s">
        <v>1386</v>
      </c>
      <c r="E215" s="6">
        <v>9</v>
      </c>
      <c r="F215" s="5" t="s">
        <v>465</v>
      </c>
      <c r="G215" s="5" t="s">
        <v>466</v>
      </c>
      <c r="H215" s="7">
        <v>17471</v>
      </c>
      <c r="I215" s="6" t="s">
        <v>17</v>
      </c>
    </row>
    <row r="216" spans="1:9" x14ac:dyDescent="0.25">
      <c r="A216" s="2" t="s">
        <v>1125</v>
      </c>
      <c r="B216" s="2" t="s">
        <v>270</v>
      </c>
      <c r="C216" s="2" t="s">
        <v>1365</v>
      </c>
      <c r="D216" s="3" t="s">
        <v>1386</v>
      </c>
      <c r="E216" s="3">
        <v>10</v>
      </c>
      <c r="F216" s="2" t="s">
        <v>1126</v>
      </c>
      <c r="G216" s="2" t="s">
        <v>155</v>
      </c>
      <c r="H216" s="4">
        <v>1234</v>
      </c>
      <c r="I216" s="3" t="s">
        <v>17</v>
      </c>
    </row>
    <row r="217" spans="1:9" x14ac:dyDescent="0.25">
      <c r="A217" s="5" t="s">
        <v>1141</v>
      </c>
      <c r="B217" s="5" t="s">
        <v>535</v>
      </c>
      <c r="C217" s="5" t="s">
        <v>1387</v>
      </c>
      <c r="D217" s="6" t="s">
        <v>1388</v>
      </c>
      <c r="E217" s="6">
        <v>1</v>
      </c>
      <c r="F217" s="5" t="s">
        <v>1142</v>
      </c>
      <c r="G217" s="5" t="s">
        <v>807</v>
      </c>
      <c r="H217" s="7">
        <v>764</v>
      </c>
      <c r="I217" s="6" t="s">
        <v>17</v>
      </c>
    </row>
    <row r="218" spans="1:9" x14ac:dyDescent="0.25">
      <c r="A218" s="2" t="s">
        <v>1135</v>
      </c>
      <c r="B218" s="2" t="s">
        <v>535</v>
      </c>
      <c r="C218" s="2" t="s">
        <v>1387</v>
      </c>
      <c r="D218" s="3" t="s">
        <v>1388</v>
      </c>
      <c r="E218" s="3">
        <v>2</v>
      </c>
      <c r="F218" s="2" t="s">
        <v>1136</v>
      </c>
      <c r="G218" s="2" t="s">
        <v>743</v>
      </c>
      <c r="H218" s="4">
        <v>4648</v>
      </c>
      <c r="I218" s="3" t="s">
        <v>17</v>
      </c>
    </row>
    <row r="219" spans="1:9" x14ac:dyDescent="0.25">
      <c r="A219" s="5" t="s">
        <v>602</v>
      </c>
      <c r="B219" s="5" t="s">
        <v>535</v>
      </c>
      <c r="C219" s="5" t="s">
        <v>1387</v>
      </c>
      <c r="D219" s="6" t="s">
        <v>1388</v>
      </c>
      <c r="E219" s="6">
        <v>3</v>
      </c>
      <c r="F219" s="5" t="s">
        <v>603</v>
      </c>
      <c r="G219" s="5" t="s">
        <v>604</v>
      </c>
      <c r="H219" s="7">
        <v>14890</v>
      </c>
      <c r="I219" s="6" t="s">
        <v>17</v>
      </c>
    </row>
    <row r="220" spans="1:9" x14ac:dyDescent="0.25">
      <c r="A220" s="2" t="s">
        <v>534</v>
      </c>
      <c r="B220" s="2" t="s">
        <v>535</v>
      </c>
      <c r="C220" s="2" t="s">
        <v>1387</v>
      </c>
      <c r="D220" s="3" t="s">
        <v>1388</v>
      </c>
      <c r="E220" s="3">
        <v>4</v>
      </c>
      <c r="F220" s="2" t="s">
        <v>536</v>
      </c>
      <c r="G220" s="2" t="s">
        <v>537</v>
      </c>
      <c r="H220" s="4">
        <v>45856</v>
      </c>
      <c r="I220" s="3" t="s">
        <v>17</v>
      </c>
    </row>
    <row r="221" spans="1:9" x14ac:dyDescent="0.25">
      <c r="A221" s="5" t="s">
        <v>1139</v>
      </c>
      <c r="B221" s="5" t="s">
        <v>535</v>
      </c>
      <c r="C221" s="5" t="s">
        <v>1387</v>
      </c>
      <c r="D221" s="6" t="s">
        <v>1388</v>
      </c>
      <c r="E221" s="6">
        <v>5</v>
      </c>
      <c r="F221" s="5" t="s">
        <v>1140</v>
      </c>
      <c r="G221" s="5" t="s">
        <v>925</v>
      </c>
      <c r="H221" s="7">
        <v>781</v>
      </c>
      <c r="I221" s="6" t="s">
        <v>17</v>
      </c>
    </row>
    <row r="222" spans="1:9" x14ac:dyDescent="0.25">
      <c r="A222" s="8" t="s">
        <v>595</v>
      </c>
      <c r="B222" s="8" t="s">
        <v>535</v>
      </c>
      <c r="C222" s="8" t="s">
        <v>1387</v>
      </c>
      <c r="D222" s="9" t="s">
        <v>1388</v>
      </c>
      <c r="E222" s="9">
        <v>6</v>
      </c>
      <c r="F222" s="8" t="s">
        <v>596</v>
      </c>
      <c r="G222" s="8" t="s">
        <v>597</v>
      </c>
      <c r="H222" s="10">
        <v>74571</v>
      </c>
      <c r="I222" s="9" t="s">
        <v>33</v>
      </c>
    </row>
    <row r="223" spans="1:9" x14ac:dyDescent="0.25">
      <c r="A223" s="5" t="s">
        <v>1133</v>
      </c>
      <c r="B223" s="5" t="s">
        <v>535</v>
      </c>
      <c r="C223" s="5" t="s">
        <v>1387</v>
      </c>
      <c r="D223" s="6" t="s">
        <v>1388</v>
      </c>
      <c r="E223" s="6">
        <v>7</v>
      </c>
      <c r="F223" s="5" t="s">
        <v>1134</v>
      </c>
      <c r="G223" s="5" t="s">
        <v>494</v>
      </c>
      <c r="H223" s="7">
        <v>5346</v>
      </c>
      <c r="I223" s="6" t="s">
        <v>17</v>
      </c>
    </row>
    <row r="224" spans="1:9" x14ac:dyDescent="0.25">
      <c r="A224" s="2" t="s">
        <v>1131</v>
      </c>
      <c r="B224" s="2" t="s">
        <v>535</v>
      </c>
      <c r="C224" s="2" t="s">
        <v>1387</v>
      </c>
      <c r="D224" s="3" t="s">
        <v>1388</v>
      </c>
      <c r="E224" s="3">
        <v>8</v>
      </c>
      <c r="F224" s="2" t="s">
        <v>1132</v>
      </c>
      <c r="G224" s="2" t="s">
        <v>660</v>
      </c>
      <c r="H224" s="4">
        <v>7733</v>
      </c>
      <c r="I224" s="3" t="s">
        <v>17</v>
      </c>
    </row>
    <row r="225" spans="1:9" x14ac:dyDescent="0.25">
      <c r="A225" s="5" t="s">
        <v>1137</v>
      </c>
      <c r="B225" s="5" t="s">
        <v>535</v>
      </c>
      <c r="C225" s="5" t="s">
        <v>1387</v>
      </c>
      <c r="D225" s="6" t="s">
        <v>1388</v>
      </c>
      <c r="E225" s="6">
        <v>9</v>
      </c>
      <c r="F225" s="5" t="s">
        <v>1138</v>
      </c>
      <c r="G225" s="5" t="s">
        <v>206</v>
      </c>
      <c r="H225" s="7">
        <v>2397</v>
      </c>
      <c r="I225" s="6" t="s">
        <v>17</v>
      </c>
    </row>
    <row r="226" spans="1:9" x14ac:dyDescent="0.25">
      <c r="A226" s="2" t="s">
        <v>513</v>
      </c>
      <c r="B226" s="2" t="s">
        <v>514</v>
      </c>
      <c r="C226" s="2" t="s">
        <v>1372</v>
      </c>
      <c r="D226" s="3" t="s">
        <v>1389</v>
      </c>
      <c r="E226" s="3">
        <v>1</v>
      </c>
      <c r="F226" s="2" t="s">
        <v>515</v>
      </c>
      <c r="G226" s="2" t="s">
        <v>516</v>
      </c>
      <c r="H226" s="4">
        <v>63869</v>
      </c>
      <c r="I226" s="3" t="s">
        <v>17</v>
      </c>
    </row>
    <row r="227" spans="1:9" x14ac:dyDescent="0.25">
      <c r="A227" s="5" t="s">
        <v>1145</v>
      </c>
      <c r="B227" s="5" t="s">
        <v>514</v>
      </c>
      <c r="C227" s="5" t="s">
        <v>1372</v>
      </c>
      <c r="D227" s="6" t="s">
        <v>1389</v>
      </c>
      <c r="E227" s="6">
        <v>2</v>
      </c>
      <c r="F227" s="5" t="s">
        <v>1146</v>
      </c>
      <c r="G227" s="5" t="s">
        <v>494</v>
      </c>
      <c r="H227" s="7">
        <v>5270</v>
      </c>
      <c r="I227" s="6" t="s">
        <v>17</v>
      </c>
    </row>
    <row r="228" spans="1:9" x14ac:dyDescent="0.25">
      <c r="A228" s="2" t="s">
        <v>548</v>
      </c>
      <c r="B228" s="2" t="s">
        <v>514</v>
      </c>
      <c r="C228" s="2" t="s">
        <v>1372</v>
      </c>
      <c r="D228" s="3" t="s">
        <v>1389</v>
      </c>
      <c r="E228" s="3">
        <v>3</v>
      </c>
      <c r="F228" s="2" t="s">
        <v>549</v>
      </c>
      <c r="G228" s="2" t="s">
        <v>341</v>
      </c>
      <c r="H228" s="4">
        <v>13177</v>
      </c>
      <c r="I228" s="3" t="s">
        <v>17</v>
      </c>
    </row>
    <row r="229" spans="1:9" x14ac:dyDescent="0.25">
      <c r="A229" s="5" t="s">
        <v>1147</v>
      </c>
      <c r="B229" s="5" t="s">
        <v>514</v>
      </c>
      <c r="C229" s="5" t="s">
        <v>1372</v>
      </c>
      <c r="D229" s="6" t="s">
        <v>1389</v>
      </c>
      <c r="E229" s="6">
        <v>4</v>
      </c>
      <c r="F229" s="5" t="s">
        <v>1148</v>
      </c>
      <c r="G229" s="5" t="s">
        <v>875</v>
      </c>
      <c r="H229" s="7">
        <v>400</v>
      </c>
      <c r="I229" s="6" t="s">
        <v>17</v>
      </c>
    </row>
    <row r="230" spans="1:9" x14ac:dyDescent="0.25">
      <c r="A230" s="2" t="s">
        <v>1143</v>
      </c>
      <c r="B230" s="2" t="s">
        <v>514</v>
      </c>
      <c r="C230" s="2" t="s">
        <v>1372</v>
      </c>
      <c r="D230" s="3" t="s">
        <v>1389</v>
      </c>
      <c r="E230" s="3">
        <v>5</v>
      </c>
      <c r="F230" s="2" t="s">
        <v>1144</v>
      </c>
      <c r="G230" s="2" t="s">
        <v>660</v>
      </c>
      <c r="H230" s="4">
        <v>5851</v>
      </c>
      <c r="I230" s="3" t="s">
        <v>17</v>
      </c>
    </row>
    <row r="231" spans="1:9" x14ac:dyDescent="0.25">
      <c r="A231" s="8" t="s">
        <v>568</v>
      </c>
      <c r="B231" s="8" t="s">
        <v>514</v>
      </c>
      <c r="C231" s="8" t="s">
        <v>1372</v>
      </c>
      <c r="D231" s="9" t="s">
        <v>1389</v>
      </c>
      <c r="E231" s="9">
        <v>6</v>
      </c>
      <c r="F231" s="8" t="s">
        <v>569</v>
      </c>
      <c r="G231" s="8" t="s">
        <v>570</v>
      </c>
      <c r="H231" s="10">
        <v>82510</v>
      </c>
      <c r="I231" s="9" t="s">
        <v>33</v>
      </c>
    </row>
    <row r="232" spans="1:9" x14ac:dyDescent="0.25">
      <c r="A232" s="2" t="s">
        <v>741</v>
      </c>
      <c r="B232" s="2" t="s">
        <v>514</v>
      </c>
      <c r="C232" s="2" t="s">
        <v>1372</v>
      </c>
      <c r="D232" s="3" t="s">
        <v>1389</v>
      </c>
      <c r="E232" s="3">
        <v>7</v>
      </c>
      <c r="F232" s="2" t="s">
        <v>742</v>
      </c>
      <c r="G232" s="2" t="s">
        <v>743</v>
      </c>
      <c r="H232" s="4">
        <v>31167</v>
      </c>
      <c r="I232" s="3" t="s">
        <v>17</v>
      </c>
    </row>
    <row r="233" spans="1:9" x14ac:dyDescent="0.25">
      <c r="A233" s="5" t="s">
        <v>1162</v>
      </c>
      <c r="B233" s="5" t="s">
        <v>1150</v>
      </c>
      <c r="C233" s="5" t="s">
        <v>1358</v>
      </c>
      <c r="D233" s="6" t="s">
        <v>1390</v>
      </c>
      <c r="E233" s="6">
        <v>1</v>
      </c>
      <c r="F233" s="5" t="s">
        <v>1163</v>
      </c>
      <c r="G233" s="5" t="s">
        <v>1164</v>
      </c>
      <c r="H233" s="7">
        <v>3145</v>
      </c>
      <c r="I233" s="6" t="s">
        <v>17</v>
      </c>
    </row>
    <row r="234" spans="1:9" x14ac:dyDescent="0.25">
      <c r="A234" s="2" t="s">
        <v>1158</v>
      </c>
      <c r="B234" s="2" t="s">
        <v>1150</v>
      </c>
      <c r="C234" s="2" t="s">
        <v>1358</v>
      </c>
      <c r="D234" s="3" t="s">
        <v>1390</v>
      </c>
      <c r="E234" s="3">
        <v>2</v>
      </c>
      <c r="F234" s="2" t="s">
        <v>1159</v>
      </c>
      <c r="G234" s="2" t="s">
        <v>750</v>
      </c>
      <c r="H234" s="4">
        <v>10915</v>
      </c>
      <c r="I234" s="3" t="s">
        <v>17</v>
      </c>
    </row>
    <row r="235" spans="1:9" x14ac:dyDescent="0.25">
      <c r="A235" s="5" t="s">
        <v>1167</v>
      </c>
      <c r="B235" s="5" t="s">
        <v>1150</v>
      </c>
      <c r="C235" s="5" t="s">
        <v>1358</v>
      </c>
      <c r="D235" s="6" t="s">
        <v>1390</v>
      </c>
      <c r="E235" s="6">
        <v>3</v>
      </c>
      <c r="F235" s="5" t="s">
        <v>1168</v>
      </c>
      <c r="G235" s="5" t="s">
        <v>127</v>
      </c>
      <c r="H235" s="7">
        <v>1189</v>
      </c>
      <c r="I235" s="6" t="s">
        <v>17</v>
      </c>
    </row>
    <row r="236" spans="1:9" x14ac:dyDescent="0.25">
      <c r="A236" s="2" t="s">
        <v>1175</v>
      </c>
      <c r="B236" s="2" t="s">
        <v>1150</v>
      </c>
      <c r="C236" s="2" t="s">
        <v>1358</v>
      </c>
      <c r="D236" s="3" t="s">
        <v>1390</v>
      </c>
      <c r="E236" s="3">
        <v>4</v>
      </c>
      <c r="F236" s="2" t="s">
        <v>1176</v>
      </c>
      <c r="G236" s="2" t="s">
        <v>235</v>
      </c>
      <c r="H236" s="4">
        <v>546</v>
      </c>
      <c r="I236" s="3" t="s">
        <v>17</v>
      </c>
    </row>
    <row r="237" spans="1:9" x14ac:dyDescent="0.25">
      <c r="A237" s="5" t="s">
        <v>1173</v>
      </c>
      <c r="B237" s="5" t="s">
        <v>1150</v>
      </c>
      <c r="C237" s="5" t="s">
        <v>1358</v>
      </c>
      <c r="D237" s="6" t="s">
        <v>1390</v>
      </c>
      <c r="E237" s="6">
        <v>5</v>
      </c>
      <c r="F237" s="5" t="s">
        <v>1174</v>
      </c>
      <c r="G237" s="5" t="s">
        <v>815</v>
      </c>
      <c r="H237" s="7">
        <v>853</v>
      </c>
      <c r="I237" s="6" t="s">
        <v>17</v>
      </c>
    </row>
    <row r="238" spans="1:9" x14ac:dyDescent="0.25">
      <c r="A238" s="2" t="s">
        <v>1165</v>
      </c>
      <c r="B238" s="2" t="s">
        <v>1150</v>
      </c>
      <c r="C238" s="2" t="s">
        <v>1358</v>
      </c>
      <c r="D238" s="3" t="s">
        <v>1390</v>
      </c>
      <c r="E238" s="3">
        <v>6</v>
      </c>
      <c r="F238" s="2" t="s">
        <v>1166</v>
      </c>
      <c r="G238" s="2" t="s">
        <v>155</v>
      </c>
      <c r="H238" s="4">
        <v>1585</v>
      </c>
      <c r="I238" s="3" t="s">
        <v>17</v>
      </c>
    </row>
    <row r="239" spans="1:9" x14ac:dyDescent="0.25">
      <c r="A239" s="5" t="s">
        <v>1177</v>
      </c>
      <c r="B239" s="5" t="s">
        <v>1150</v>
      </c>
      <c r="C239" s="5" t="s">
        <v>1358</v>
      </c>
      <c r="D239" s="6" t="s">
        <v>1390</v>
      </c>
      <c r="E239" s="6">
        <v>7</v>
      </c>
      <c r="F239" s="5" t="s">
        <v>1178</v>
      </c>
      <c r="G239" s="5" t="s">
        <v>875</v>
      </c>
      <c r="H239" s="7">
        <v>305</v>
      </c>
      <c r="I239" s="6" t="s">
        <v>17</v>
      </c>
    </row>
    <row r="240" spans="1:9" x14ac:dyDescent="0.25">
      <c r="A240" s="2" t="s">
        <v>1169</v>
      </c>
      <c r="B240" s="2" t="s">
        <v>1150</v>
      </c>
      <c r="C240" s="2" t="s">
        <v>1358</v>
      </c>
      <c r="D240" s="3" t="s">
        <v>1390</v>
      </c>
      <c r="E240" s="3">
        <v>8</v>
      </c>
      <c r="F240" s="2" t="s">
        <v>1170</v>
      </c>
      <c r="G240" s="2" t="s">
        <v>660</v>
      </c>
      <c r="H240" s="4">
        <v>1150</v>
      </c>
      <c r="I240" s="3" t="s">
        <v>17</v>
      </c>
    </row>
    <row r="241" spans="1:9" x14ac:dyDescent="0.25">
      <c r="A241" s="5" t="s">
        <v>1179</v>
      </c>
      <c r="B241" s="5" t="s">
        <v>1150</v>
      </c>
      <c r="C241" s="5" t="s">
        <v>1358</v>
      </c>
      <c r="D241" s="6" t="s">
        <v>1390</v>
      </c>
      <c r="E241" s="6">
        <v>9</v>
      </c>
      <c r="F241" s="5" t="s">
        <v>1180</v>
      </c>
      <c r="G241" s="5" t="s">
        <v>807</v>
      </c>
      <c r="H241" s="7">
        <v>173</v>
      </c>
      <c r="I241" s="6" t="s">
        <v>17</v>
      </c>
    </row>
    <row r="242" spans="1:9" x14ac:dyDescent="0.25">
      <c r="A242" s="8" t="s">
        <v>1149</v>
      </c>
      <c r="B242" s="8" t="s">
        <v>1150</v>
      </c>
      <c r="C242" s="8" t="s">
        <v>1358</v>
      </c>
      <c r="D242" s="9" t="s">
        <v>1390</v>
      </c>
      <c r="E242" s="9">
        <v>10</v>
      </c>
      <c r="F242" s="8" t="s">
        <v>1151</v>
      </c>
      <c r="G242" s="8" t="s">
        <v>1152</v>
      </c>
      <c r="H242" s="10">
        <v>27982</v>
      </c>
      <c r="I242" s="9" t="s">
        <v>33</v>
      </c>
    </row>
    <row r="243" spans="1:9" x14ac:dyDescent="0.25">
      <c r="A243" s="5" t="s">
        <v>1160</v>
      </c>
      <c r="B243" s="5" t="s">
        <v>1150</v>
      </c>
      <c r="C243" s="5" t="s">
        <v>1358</v>
      </c>
      <c r="D243" s="6" t="s">
        <v>1390</v>
      </c>
      <c r="E243" s="6">
        <v>11</v>
      </c>
      <c r="F243" s="5" t="s">
        <v>1161</v>
      </c>
      <c r="G243" s="5" t="s">
        <v>473</v>
      </c>
      <c r="H243" s="7">
        <v>5953</v>
      </c>
      <c r="I243" s="6" t="s">
        <v>17</v>
      </c>
    </row>
    <row r="244" spans="1:9" x14ac:dyDescent="0.25">
      <c r="A244" s="2" t="s">
        <v>1171</v>
      </c>
      <c r="B244" s="2" t="s">
        <v>1150</v>
      </c>
      <c r="C244" s="2" t="s">
        <v>1358</v>
      </c>
      <c r="D244" s="3" t="s">
        <v>1390</v>
      </c>
      <c r="E244" s="3">
        <v>12</v>
      </c>
      <c r="F244" s="2" t="s">
        <v>1172</v>
      </c>
      <c r="G244" s="2" t="s">
        <v>206</v>
      </c>
      <c r="H244" s="4">
        <v>867</v>
      </c>
      <c r="I244" s="3" t="s">
        <v>17</v>
      </c>
    </row>
    <row r="245" spans="1:9" x14ac:dyDescent="0.25">
      <c r="A245" s="5" t="s">
        <v>1155</v>
      </c>
      <c r="B245" s="5" t="s">
        <v>1150</v>
      </c>
      <c r="C245" s="5" t="s">
        <v>1358</v>
      </c>
      <c r="D245" s="6" t="s">
        <v>1390</v>
      </c>
      <c r="E245" s="6">
        <v>13</v>
      </c>
      <c r="F245" s="5" t="s">
        <v>1156</v>
      </c>
      <c r="G245" s="5" t="s">
        <v>1157</v>
      </c>
      <c r="H245" s="7">
        <v>24205</v>
      </c>
      <c r="I245" s="6" t="s">
        <v>17</v>
      </c>
    </row>
    <row r="246" spans="1:9" x14ac:dyDescent="0.25">
      <c r="A246" s="2" t="s">
        <v>1186</v>
      </c>
      <c r="B246" s="2" t="s">
        <v>436</v>
      </c>
      <c r="C246" s="2" t="s">
        <v>1391</v>
      </c>
      <c r="D246" s="3" t="s">
        <v>1392</v>
      </c>
      <c r="E246" s="3">
        <v>1</v>
      </c>
      <c r="F246" s="2" t="s">
        <v>1187</v>
      </c>
      <c r="G246" s="2" t="s">
        <v>16</v>
      </c>
      <c r="H246" s="4">
        <v>30419</v>
      </c>
      <c r="I246" s="3" t="s">
        <v>17</v>
      </c>
    </row>
    <row r="247" spans="1:9" x14ac:dyDescent="0.25">
      <c r="A247" s="5" t="s">
        <v>1204</v>
      </c>
      <c r="B247" s="5" t="s">
        <v>436</v>
      </c>
      <c r="C247" s="5" t="s">
        <v>1391</v>
      </c>
      <c r="D247" s="6" t="s">
        <v>1392</v>
      </c>
      <c r="E247" s="6">
        <v>2</v>
      </c>
      <c r="F247" s="5" t="s">
        <v>1205</v>
      </c>
      <c r="G247" s="5" t="s">
        <v>214</v>
      </c>
      <c r="H247" s="7">
        <v>585</v>
      </c>
      <c r="I247" s="6" t="s">
        <v>17</v>
      </c>
    </row>
    <row r="248" spans="1:9" x14ac:dyDescent="0.25">
      <c r="A248" s="2" t="s">
        <v>1212</v>
      </c>
      <c r="B248" s="2" t="s">
        <v>436</v>
      </c>
      <c r="C248" s="2" t="s">
        <v>1391</v>
      </c>
      <c r="D248" s="3" t="s">
        <v>1392</v>
      </c>
      <c r="E248" s="3">
        <v>3</v>
      </c>
      <c r="F248" s="2" t="s">
        <v>1213</v>
      </c>
      <c r="G248" s="2" t="s">
        <v>875</v>
      </c>
      <c r="H248" s="4">
        <v>159</v>
      </c>
      <c r="I248" s="3" t="s">
        <v>17</v>
      </c>
    </row>
    <row r="249" spans="1:9" x14ac:dyDescent="0.25">
      <c r="A249" s="5" t="s">
        <v>1202</v>
      </c>
      <c r="B249" s="5" t="s">
        <v>436</v>
      </c>
      <c r="C249" s="5" t="s">
        <v>1391</v>
      </c>
      <c r="D249" s="6" t="s">
        <v>1392</v>
      </c>
      <c r="E249" s="6">
        <v>4</v>
      </c>
      <c r="F249" s="5" t="s">
        <v>1203</v>
      </c>
      <c r="G249" s="5" t="s">
        <v>743</v>
      </c>
      <c r="H249" s="7">
        <v>980</v>
      </c>
      <c r="I249" s="6" t="s">
        <v>17</v>
      </c>
    </row>
    <row r="250" spans="1:9" x14ac:dyDescent="0.25">
      <c r="A250" s="2" t="s">
        <v>1200</v>
      </c>
      <c r="B250" s="2" t="s">
        <v>436</v>
      </c>
      <c r="C250" s="2" t="s">
        <v>1391</v>
      </c>
      <c r="D250" s="3" t="s">
        <v>1392</v>
      </c>
      <c r="E250" s="3">
        <v>5</v>
      </c>
      <c r="F250" s="2" t="s">
        <v>1201</v>
      </c>
      <c r="G250" s="2" t="s">
        <v>815</v>
      </c>
      <c r="H250" s="4">
        <v>2053</v>
      </c>
      <c r="I250" s="3" t="s">
        <v>17</v>
      </c>
    </row>
    <row r="251" spans="1:9" x14ac:dyDescent="0.25">
      <c r="A251" s="5" t="s">
        <v>1208</v>
      </c>
      <c r="B251" s="5" t="s">
        <v>436</v>
      </c>
      <c r="C251" s="5" t="s">
        <v>1391</v>
      </c>
      <c r="D251" s="6" t="s">
        <v>1392</v>
      </c>
      <c r="E251" s="6">
        <v>6</v>
      </c>
      <c r="F251" s="5" t="s">
        <v>1209</v>
      </c>
      <c r="G251" s="5" t="s">
        <v>127</v>
      </c>
      <c r="H251" s="7">
        <v>451</v>
      </c>
      <c r="I251" s="6" t="s">
        <v>17</v>
      </c>
    </row>
    <row r="252" spans="1:9" x14ac:dyDescent="0.25">
      <c r="A252" s="2" t="s">
        <v>1197</v>
      </c>
      <c r="B252" s="2" t="s">
        <v>436</v>
      </c>
      <c r="C252" s="2" t="s">
        <v>1391</v>
      </c>
      <c r="D252" s="3" t="s">
        <v>1392</v>
      </c>
      <c r="E252" s="3">
        <v>7</v>
      </c>
      <c r="F252" s="2" t="s">
        <v>1198</v>
      </c>
      <c r="G252" s="2" t="s">
        <v>1199</v>
      </c>
      <c r="H252" s="4">
        <v>3761</v>
      </c>
      <c r="I252" s="3" t="s">
        <v>17</v>
      </c>
    </row>
    <row r="253" spans="1:9" x14ac:dyDescent="0.25">
      <c r="A253" s="5" t="s">
        <v>1206</v>
      </c>
      <c r="B253" s="5" t="s">
        <v>436</v>
      </c>
      <c r="C253" s="5" t="s">
        <v>1391</v>
      </c>
      <c r="D253" s="6" t="s">
        <v>1392</v>
      </c>
      <c r="E253" s="6">
        <v>8</v>
      </c>
      <c r="F253" s="5" t="s">
        <v>1207</v>
      </c>
      <c r="G253" s="5" t="s">
        <v>382</v>
      </c>
      <c r="H253" s="7">
        <v>536</v>
      </c>
      <c r="I253" s="6" t="s">
        <v>17</v>
      </c>
    </row>
    <row r="254" spans="1:9" x14ac:dyDescent="0.25">
      <c r="A254" s="2" t="s">
        <v>1181</v>
      </c>
      <c r="B254" s="2" t="s">
        <v>436</v>
      </c>
      <c r="C254" s="2" t="s">
        <v>1391</v>
      </c>
      <c r="D254" s="3" t="s">
        <v>1392</v>
      </c>
      <c r="E254" s="3">
        <v>9</v>
      </c>
      <c r="F254" s="2" t="s">
        <v>1182</v>
      </c>
      <c r="G254" s="2" t="s">
        <v>494</v>
      </c>
      <c r="H254" s="4">
        <v>36155</v>
      </c>
      <c r="I254" s="3" t="s">
        <v>17</v>
      </c>
    </row>
    <row r="255" spans="1:9" x14ac:dyDescent="0.25">
      <c r="A255" s="8" t="s">
        <v>435</v>
      </c>
      <c r="B255" s="8" t="s">
        <v>436</v>
      </c>
      <c r="C255" s="8" t="s">
        <v>1391</v>
      </c>
      <c r="D255" s="9" t="s">
        <v>1392</v>
      </c>
      <c r="E255" s="9">
        <v>10</v>
      </c>
      <c r="F255" s="8" t="s">
        <v>437</v>
      </c>
      <c r="G255" s="8" t="s">
        <v>438</v>
      </c>
      <c r="H255" s="10">
        <v>36917</v>
      </c>
      <c r="I255" s="9" t="s">
        <v>33</v>
      </c>
    </row>
    <row r="256" spans="1:9" x14ac:dyDescent="0.25">
      <c r="A256" s="2" t="s">
        <v>1195</v>
      </c>
      <c r="B256" s="2" t="s">
        <v>436</v>
      </c>
      <c r="C256" s="2" t="s">
        <v>1391</v>
      </c>
      <c r="D256" s="3" t="s">
        <v>1392</v>
      </c>
      <c r="E256" s="3">
        <v>11</v>
      </c>
      <c r="F256" s="2" t="s">
        <v>1196</v>
      </c>
      <c r="G256" s="2" t="s">
        <v>750</v>
      </c>
      <c r="H256" s="4">
        <v>3988</v>
      </c>
      <c r="I256" s="3" t="s">
        <v>17</v>
      </c>
    </row>
    <row r="257" spans="1:9" x14ac:dyDescent="0.25">
      <c r="A257" s="5" t="s">
        <v>1193</v>
      </c>
      <c r="B257" s="5" t="s">
        <v>436</v>
      </c>
      <c r="C257" s="5" t="s">
        <v>1391</v>
      </c>
      <c r="D257" s="6" t="s">
        <v>1392</v>
      </c>
      <c r="E257" s="6">
        <v>12</v>
      </c>
      <c r="F257" s="5" t="s">
        <v>1194</v>
      </c>
      <c r="G257" s="5" t="s">
        <v>41</v>
      </c>
      <c r="H257" s="7">
        <v>4396</v>
      </c>
      <c r="I257" s="6" t="s">
        <v>17</v>
      </c>
    </row>
    <row r="258" spans="1:9" x14ac:dyDescent="0.25">
      <c r="A258" s="2" t="s">
        <v>1191</v>
      </c>
      <c r="B258" s="2" t="s">
        <v>436</v>
      </c>
      <c r="C258" s="2" t="s">
        <v>1391</v>
      </c>
      <c r="D258" s="3" t="s">
        <v>1392</v>
      </c>
      <c r="E258" s="3">
        <v>13</v>
      </c>
      <c r="F258" s="2" t="s">
        <v>1192</v>
      </c>
      <c r="G258" s="2" t="s">
        <v>119</v>
      </c>
      <c r="H258" s="4">
        <v>8052</v>
      </c>
      <c r="I258" s="3" t="s">
        <v>17</v>
      </c>
    </row>
    <row r="259" spans="1:9" x14ac:dyDescent="0.25">
      <c r="A259" s="5" t="s">
        <v>1210</v>
      </c>
      <c r="B259" s="5" t="s">
        <v>436</v>
      </c>
      <c r="C259" s="5" t="s">
        <v>1391</v>
      </c>
      <c r="D259" s="6" t="s">
        <v>1392</v>
      </c>
      <c r="E259" s="6">
        <v>14</v>
      </c>
      <c r="F259" s="5" t="s">
        <v>1211</v>
      </c>
      <c r="G259" s="5" t="s">
        <v>694</v>
      </c>
      <c r="H259" s="7">
        <v>290</v>
      </c>
      <c r="I259" s="6" t="s">
        <v>17</v>
      </c>
    </row>
    <row r="260" spans="1:9" x14ac:dyDescent="0.25">
      <c r="A260" s="2" t="s">
        <v>1216</v>
      </c>
      <c r="B260" s="2" t="s">
        <v>63</v>
      </c>
      <c r="C260" s="2" t="s">
        <v>1393</v>
      </c>
      <c r="D260" s="3" t="s">
        <v>1394</v>
      </c>
      <c r="E260" s="3">
        <v>1</v>
      </c>
      <c r="F260" s="2" t="s">
        <v>1217</v>
      </c>
      <c r="G260" s="2" t="s">
        <v>743</v>
      </c>
      <c r="H260" s="4">
        <v>346</v>
      </c>
      <c r="I260" s="3" t="s">
        <v>17</v>
      </c>
    </row>
    <row r="261" spans="1:9" x14ac:dyDescent="0.25">
      <c r="A261" s="5" t="s">
        <v>1214</v>
      </c>
      <c r="B261" s="5" t="s">
        <v>63</v>
      </c>
      <c r="C261" s="5" t="s">
        <v>1393</v>
      </c>
      <c r="D261" s="6" t="s">
        <v>1394</v>
      </c>
      <c r="E261" s="6">
        <v>2</v>
      </c>
      <c r="F261" s="5" t="s">
        <v>1215</v>
      </c>
      <c r="G261" s="5" t="s">
        <v>341</v>
      </c>
      <c r="H261" s="7">
        <v>2447</v>
      </c>
      <c r="I261" s="6" t="s">
        <v>17</v>
      </c>
    </row>
    <row r="262" spans="1:9" x14ac:dyDescent="0.25">
      <c r="A262" s="8" t="s">
        <v>247</v>
      </c>
      <c r="B262" s="8" t="s">
        <v>63</v>
      </c>
      <c r="C262" s="8" t="s">
        <v>1393</v>
      </c>
      <c r="D262" s="9" t="s">
        <v>1394</v>
      </c>
      <c r="E262" s="9">
        <v>3</v>
      </c>
      <c r="F262" s="8" t="s">
        <v>248</v>
      </c>
      <c r="G262" s="8" t="s">
        <v>249</v>
      </c>
      <c r="H262" s="10">
        <v>30090</v>
      </c>
      <c r="I262" s="9" t="s">
        <v>33</v>
      </c>
    </row>
    <row r="263" spans="1:9" x14ac:dyDescent="0.25">
      <c r="A263" s="5" t="s">
        <v>62</v>
      </c>
      <c r="B263" s="5" t="s">
        <v>63</v>
      </c>
      <c r="C263" s="5" t="s">
        <v>1393</v>
      </c>
      <c r="D263" s="6" t="s">
        <v>1394</v>
      </c>
      <c r="E263" s="6">
        <v>4</v>
      </c>
      <c r="F263" s="5" t="s">
        <v>64</v>
      </c>
      <c r="G263" s="5" t="s">
        <v>65</v>
      </c>
      <c r="H263" s="7">
        <v>21198</v>
      </c>
      <c r="I263" s="6" t="s">
        <v>17</v>
      </c>
    </row>
    <row r="264" spans="1:9" x14ac:dyDescent="0.25">
      <c r="A264" s="2" t="s">
        <v>1218</v>
      </c>
      <c r="B264" s="2" t="s">
        <v>63</v>
      </c>
      <c r="C264" s="2" t="s">
        <v>1393</v>
      </c>
      <c r="D264" s="3" t="s">
        <v>1394</v>
      </c>
      <c r="E264" s="3">
        <v>5</v>
      </c>
      <c r="F264" s="2" t="s">
        <v>1219</v>
      </c>
      <c r="G264" s="2" t="s">
        <v>155</v>
      </c>
      <c r="H264" s="4">
        <v>218</v>
      </c>
      <c r="I264" s="3" t="s">
        <v>17</v>
      </c>
    </row>
    <row r="265" spans="1:9" x14ac:dyDescent="0.25">
      <c r="A265" s="5" t="s">
        <v>402</v>
      </c>
      <c r="B265" s="5" t="s">
        <v>63</v>
      </c>
      <c r="C265" s="5" t="s">
        <v>1393</v>
      </c>
      <c r="D265" s="6" t="s">
        <v>1394</v>
      </c>
      <c r="E265" s="6">
        <v>6</v>
      </c>
      <c r="F265" s="5" t="s">
        <v>403</v>
      </c>
      <c r="G265" s="5" t="s">
        <v>404</v>
      </c>
      <c r="H265" s="7">
        <v>26833</v>
      </c>
      <c r="I265" s="6" t="s">
        <v>17</v>
      </c>
    </row>
    <row r="266" spans="1:9" x14ac:dyDescent="0.25">
      <c r="A266" s="8" t="s">
        <v>380</v>
      </c>
      <c r="B266" s="8" t="s">
        <v>110</v>
      </c>
      <c r="C266" s="8" t="s">
        <v>1395</v>
      </c>
      <c r="D266" s="9" t="s">
        <v>1396</v>
      </c>
      <c r="E266" s="9">
        <v>1</v>
      </c>
      <c r="F266" s="8" t="s">
        <v>381</v>
      </c>
      <c r="G266" s="8" t="s">
        <v>382</v>
      </c>
      <c r="H266" s="10">
        <v>85504</v>
      </c>
      <c r="I266" s="18" t="s">
        <v>33</v>
      </c>
    </row>
    <row r="267" spans="1:9" x14ac:dyDescent="0.25">
      <c r="A267" s="2" t="s">
        <v>109</v>
      </c>
      <c r="B267" s="2" t="s">
        <v>110</v>
      </c>
      <c r="C267" s="2" t="s">
        <v>1395</v>
      </c>
      <c r="D267" s="3" t="s">
        <v>1396</v>
      </c>
      <c r="E267" s="3">
        <v>2</v>
      </c>
      <c r="F267" s="2" t="s">
        <v>111</v>
      </c>
      <c r="G267" s="2" t="s">
        <v>112</v>
      </c>
      <c r="H267" s="4">
        <v>85372</v>
      </c>
      <c r="I267" s="3" t="s">
        <v>17</v>
      </c>
    </row>
    <row r="268" spans="1:9" x14ac:dyDescent="0.25">
      <c r="A268" s="2" t="s">
        <v>1220</v>
      </c>
      <c r="B268" s="2" t="s">
        <v>110</v>
      </c>
      <c r="C268" s="2" t="s">
        <v>1395</v>
      </c>
      <c r="D268" s="3" t="s">
        <v>1396</v>
      </c>
      <c r="E268" s="3">
        <v>3</v>
      </c>
      <c r="F268" s="2" t="s">
        <v>1221</v>
      </c>
      <c r="G268" s="2" t="s">
        <v>1222</v>
      </c>
      <c r="H268" s="4">
        <v>16097</v>
      </c>
      <c r="I268" s="3" t="s">
        <v>17</v>
      </c>
    </row>
    <row r="269" spans="1:9" x14ac:dyDescent="0.25">
      <c r="A269" s="5" t="s">
        <v>1220</v>
      </c>
      <c r="B269" s="5" t="s">
        <v>110</v>
      </c>
      <c r="C269" s="5" t="s">
        <v>1395</v>
      </c>
      <c r="D269" s="6" t="s">
        <v>1396</v>
      </c>
      <c r="E269" s="6">
        <v>3</v>
      </c>
      <c r="F269" s="5" t="s">
        <v>1221</v>
      </c>
      <c r="G269" s="5" t="s">
        <v>1222</v>
      </c>
      <c r="H269" s="7">
        <v>16097</v>
      </c>
      <c r="I269" s="6" t="s">
        <v>17</v>
      </c>
    </row>
    <row r="270" spans="1:9" x14ac:dyDescent="0.25">
      <c r="A270" s="2" t="s">
        <v>1224</v>
      </c>
      <c r="B270" s="2" t="s">
        <v>110</v>
      </c>
      <c r="C270" s="2" t="s">
        <v>1395</v>
      </c>
      <c r="D270" s="3" t="s">
        <v>1396</v>
      </c>
      <c r="E270" s="3">
        <v>4</v>
      </c>
      <c r="F270" s="2" t="s">
        <v>1225</v>
      </c>
      <c r="G270" s="2" t="s">
        <v>341</v>
      </c>
      <c r="H270" s="4">
        <v>5729</v>
      </c>
      <c r="I270" s="3" t="s">
        <v>17</v>
      </c>
    </row>
    <row r="271" spans="1:9" x14ac:dyDescent="0.25">
      <c r="A271" s="5" t="s">
        <v>1224</v>
      </c>
      <c r="B271" s="5" t="s">
        <v>110</v>
      </c>
      <c r="C271" s="5" t="s">
        <v>1395</v>
      </c>
      <c r="D271" s="6" t="s">
        <v>1396</v>
      </c>
      <c r="E271" s="6">
        <v>4</v>
      </c>
      <c r="F271" s="5" t="s">
        <v>1225</v>
      </c>
      <c r="G271" s="5" t="s">
        <v>341</v>
      </c>
      <c r="H271" s="7">
        <v>5729</v>
      </c>
      <c r="I271" s="6" t="s">
        <v>17</v>
      </c>
    </row>
    <row r="272" spans="1:9" x14ac:dyDescent="0.25">
      <c r="A272" s="2" t="s">
        <v>1226</v>
      </c>
      <c r="B272" s="2" t="s">
        <v>110</v>
      </c>
      <c r="C272" s="2" t="s">
        <v>1395</v>
      </c>
      <c r="D272" s="3" t="s">
        <v>1396</v>
      </c>
      <c r="E272" s="3">
        <v>5</v>
      </c>
      <c r="F272" s="2" t="s">
        <v>1227</v>
      </c>
      <c r="G272" s="2" t="s">
        <v>812</v>
      </c>
      <c r="H272" s="4">
        <v>1871</v>
      </c>
      <c r="I272" s="3" t="s">
        <v>17</v>
      </c>
    </row>
    <row r="273" spans="1:9" x14ac:dyDescent="0.25">
      <c r="A273" s="5" t="s">
        <v>1226</v>
      </c>
      <c r="B273" s="5" t="s">
        <v>110</v>
      </c>
      <c r="C273" s="5" t="s">
        <v>1395</v>
      </c>
      <c r="D273" s="6" t="s">
        <v>1396</v>
      </c>
      <c r="E273" s="6">
        <v>5</v>
      </c>
      <c r="F273" s="5" t="s">
        <v>1227</v>
      </c>
      <c r="G273" s="5" t="s">
        <v>812</v>
      </c>
      <c r="H273" s="7">
        <v>1871</v>
      </c>
      <c r="I273" s="6" t="s">
        <v>17</v>
      </c>
    </row>
    <row r="274" spans="1:9" x14ac:dyDescent="0.25">
      <c r="A274" s="2" t="s">
        <v>1228</v>
      </c>
      <c r="B274" s="2" t="s">
        <v>110</v>
      </c>
      <c r="C274" s="2" t="s">
        <v>1395</v>
      </c>
      <c r="D274" s="3" t="s">
        <v>1396</v>
      </c>
      <c r="E274" s="3">
        <v>6</v>
      </c>
      <c r="F274" s="2" t="s">
        <v>1229</v>
      </c>
      <c r="G274" s="2" t="s">
        <v>1230</v>
      </c>
      <c r="H274" s="4">
        <v>1400</v>
      </c>
      <c r="I274" s="3" t="s">
        <v>17</v>
      </c>
    </row>
    <row r="275" spans="1:9" x14ac:dyDescent="0.25">
      <c r="A275" s="5" t="s">
        <v>1228</v>
      </c>
      <c r="B275" s="5" t="s">
        <v>110</v>
      </c>
      <c r="C275" s="5" t="s">
        <v>1395</v>
      </c>
      <c r="D275" s="6" t="s">
        <v>1396</v>
      </c>
      <c r="E275" s="6">
        <v>6</v>
      </c>
      <c r="F275" s="5" t="s">
        <v>1229</v>
      </c>
      <c r="G275" s="5" t="s">
        <v>1230</v>
      </c>
      <c r="H275" s="7">
        <v>1400</v>
      </c>
      <c r="I275" s="6" t="s">
        <v>17</v>
      </c>
    </row>
    <row r="276" spans="1:9" x14ac:dyDescent="0.25">
      <c r="A276" s="2" t="s">
        <v>1231</v>
      </c>
      <c r="B276" s="2" t="s">
        <v>110</v>
      </c>
      <c r="C276" s="2" t="s">
        <v>1395</v>
      </c>
      <c r="D276" s="3" t="s">
        <v>1396</v>
      </c>
      <c r="E276" s="3">
        <v>7</v>
      </c>
      <c r="F276" s="2" t="s">
        <v>1232</v>
      </c>
      <c r="G276" s="2" t="s">
        <v>743</v>
      </c>
      <c r="H276" s="4">
        <v>1361</v>
      </c>
      <c r="I276" s="3" t="s">
        <v>17</v>
      </c>
    </row>
    <row r="277" spans="1:9" x14ac:dyDescent="0.25">
      <c r="A277" s="5" t="s">
        <v>1231</v>
      </c>
      <c r="B277" s="5" t="s">
        <v>110</v>
      </c>
      <c r="C277" s="5" t="s">
        <v>1395</v>
      </c>
      <c r="D277" s="6" t="s">
        <v>1396</v>
      </c>
      <c r="E277" s="6">
        <v>7</v>
      </c>
      <c r="F277" s="5" t="s">
        <v>1232</v>
      </c>
      <c r="G277" s="5" t="s">
        <v>743</v>
      </c>
      <c r="H277" s="7">
        <v>1361</v>
      </c>
      <c r="I277" s="6" t="s">
        <v>17</v>
      </c>
    </row>
    <row r="278" spans="1:9" x14ac:dyDescent="0.25">
      <c r="A278" s="2" t="s">
        <v>1233</v>
      </c>
      <c r="B278" s="2" t="s">
        <v>110</v>
      </c>
      <c r="C278" s="2" t="s">
        <v>1395</v>
      </c>
      <c r="D278" s="3" t="s">
        <v>1396</v>
      </c>
      <c r="E278" s="3">
        <v>8</v>
      </c>
      <c r="F278" s="2" t="s">
        <v>1234</v>
      </c>
      <c r="G278" s="2" t="s">
        <v>807</v>
      </c>
      <c r="H278" s="4">
        <v>1192</v>
      </c>
      <c r="I278" s="3" t="s">
        <v>17</v>
      </c>
    </row>
    <row r="279" spans="1:9" x14ac:dyDescent="0.25">
      <c r="A279" s="5" t="s">
        <v>1233</v>
      </c>
      <c r="B279" s="5" t="s">
        <v>110</v>
      </c>
      <c r="C279" s="5" t="s">
        <v>1395</v>
      </c>
      <c r="D279" s="6" t="s">
        <v>1396</v>
      </c>
      <c r="E279" s="6">
        <v>8</v>
      </c>
      <c r="F279" s="5" t="s">
        <v>1234</v>
      </c>
      <c r="G279" s="5" t="s">
        <v>807</v>
      </c>
      <c r="H279" s="7">
        <v>1192</v>
      </c>
      <c r="I279" s="6" t="s">
        <v>17</v>
      </c>
    </row>
    <row r="280" spans="1:9" x14ac:dyDescent="0.25">
      <c r="A280" s="2" t="s">
        <v>1235</v>
      </c>
      <c r="B280" s="2" t="s">
        <v>110</v>
      </c>
      <c r="C280" s="2" t="s">
        <v>1395</v>
      </c>
      <c r="D280" s="3" t="s">
        <v>1396</v>
      </c>
      <c r="E280" s="3">
        <v>9</v>
      </c>
      <c r="F280" s="2" t="s">
        <v>1236</v>
      </c>
      <c r="G280" s="2" t="s">
        <v>875</v>
      </c>
      <c r="H280" s="4">
        <v>756</v>
      </c>
      <c r="I280" s="3" t="s">
        <v>17</v>
      </c>
    </row>
    <row r="281" spans="1:9" x14ac:dyDescent="0.25">
      <c r="A281" s="5" t="s">
        <v>1235</v>
      </c>
      <c r="B281" s="5" t="s">
        <v>110</v>
      </c>
      <c r="C281" s="5" t="s">
        <v>1395</v>
      </c>
      <c r="D281" s="6" t="s">
        <v>1396</v>
      </c>
      <c r="E281" s="6">
        <v>9</v>
      </c>
      <c r="F281" s="5" t="s">
        <v>1236</v>
      </c>
      <c r="G281" s="5" t="s">
        <v>875</v>
      </c>
      <c r="H281" s="7">
        <v>756</v>
      </c>
      <c r="I281" s="6" t="s">
        <v>17</v>
      </c>
    </row>
    <row r="282" spans="1:9" x14ac:dyDescent="0.25">
      <c r="A282" s="2" t="s">
        <v>1241</v>
      </c>
      <c r="B282" s="2" t="s">
        <v>790</v>
      </c>
      <c r="C282" s="2" t="s">
        <v>1397</v>
      </c>
      <c r="D282" s="3" t="s">
        <v>1398</v>
      </c>
      <c r="E282" s="3">
        <v>1</v>
      </c>
      <c r="F282" s="2" t="s">
        <v>1242</v>
      </c>
      <c r="G282" s="2" t="s">
        <v>815</v>
      </c>
      <c r="H282" s="4">
        <v>12363</v>
      </c>
      <c r="I282" s="3" t="s">
        <v>17</v>
      </c>
    </row>
    <row r="283" spans="1:9" x14ac:dyDescent="0.25">
      <c r="A283" s="5" t="s">
        <v>1262</v>
      </c>
      <c r="B283" s="5" t="s">
        <v>790</v>
      </c>
      <c r="C283" s="5" t="s">
        <v>1397</v>
      </c>
      <c r="D283" s="6" t="s">
        <v>1398</v>
      </c>
      <c r="E283" s="6">
        <v>2</v>
      </c>
      <c r="F283" s="5" t="s">
        <v>1263</v>
      </c>
      <c r="G283" s="5" t="s">
        <v>743</v>
      </c>
      <c r="H283" s="7">
        <v>618</v>
      </c>
      <c r="I283" s="6" t="s">
        <v>17</v>
      </c>
    </row>
    <row r="284" spans="1:9" x14ac:dyDescent="0.25">
      <c r="A284" s="2" t="s">
        <v>1237</v>
      </c>
      <c r="B284" s="2" t="s">
        <v>790</v>
      </c>
      <c r="C284" s="2" t="s">
        <v>1397</v>
      </c>
      <c r="D284" s="3" t="s">
        <v>1398</v>
      </c>
      <c r="E284" s="3">
        <v>3</v>
      </c>
      <c r="F284" s="2" t="s">
        <v>1238</v>
      </c>
      <c r="G284" s="2" t="s">
        <v>119</v>
      </c>
      <c r="H284" s="4">
        <v>38152</v>
      </c>
      <c r="I284" s="3" t="s">
        <v>17</v>
      </c>
    </row>
    <row r="285" spans="1:9" x14ac:dyDescent="0.25">
      <c r="A285" s="5" t="s">
        <v>1251</v>
      </c>
      <c r="B285" s="5" t="s">
        <v>790</v>
      </c>
      <c r="C285" s="5" t="s">
        <v>1397</v>
      </c>
      <c r="D285" s="6" t="s">
        <v>1398</v>
      </c>
      <c r="E285" s="6">
        <v>4</v>
      </c>
      <c r="F285" s="5" t="s">
        <v>1252</v>
      </c>
      <c r="G285" s="5" t="s">
        <v>206</v>
      </c>
      <c r="H285" s="7">
        <v>1419</v>
      </c>
      <c r="I285" s="6" t="s">
        <v>17</v>
      </c>
    </row>
    <row r="286" spans="1:9" x14ac:dyDescent="0.25">
      <c r="A286" s="2" t="s">
        <v>1248</v>
      </c>
      <c r="B286" s="2" t="s">
        <v>790</v>
      </c>
      <c r="C286" s="2" t="s">
        <v>1397</v>
      </c>
      <c r="D286" s="3" t="s">
        <v>1398</v>
      </c>
      <c r="E286" s="3">
        <v>5</v>
      </c>
      <c r="F286" s="2" t="s">
        <v>1249</v>
      </c>
      <c r="G286" s="2" t="s">
        <v>1250</v>
      </c>
      <c r="H286" s="4">
        <v>1770</v>
      </c>
      <c r="I286" s="3" t="s">
        <v>17</v>
      </c>
    </row>
    <row r="287" spans="1:9" x14ac:dyDescent="0.25">
      <c r="A287" s="5" t="s">
        <v>1260</v>
      </c>
      <c r="B287" s="5" t="s">
        <v>790</v>
      </c>
      <c r="C287" s="5" t="s">
        <v>1397</v>
      </c>
      <c r="D287" s="6" t="s">
        <v>1398</v>
      </c>
      <c r="E287" s="6">
        <v>6</v>
      </c>
      <c r="F287" s="5" t="s">
        <v>1261</v>
      </c>
      <c r="G287" s="5" t="s">
        <v>341</v>
      </c>
      <c r="H287" s="7">
        <v>646</v>
      </c>
      <c r="I287" s="6" t="s">
        <v>17</v>
      </c>
    </row>
    <row r="288" spans="1:9" x14ac:dyDescent="0.25">
      <c r="A288" s="2" t="s">
        <v>1255</v>
      </c>
      <c r="B288" s="2" t="s">
        <v>790</v>
      </c>
      <c r="C288" s="2" t="s">
        <v>1397</v>
      </c>
      <c r="D288" s="3" t="s">
        <v>1398</v>
      </c>
      <c r="E288" s="3">
        <v>7</v>
      </c>
      <c r="F288" s="2" t="s">
        <v>1256</v>
      </c>
      <c r="G288" s="2" t="s">
        <v>1257</v>
      </c>
      <c r="H288" s="4">
        <v>1183</v>
      </c>
      <c r="I288" s="3" t="s">
        <v>17</v>
      </c>
    </row>
    <row r="289" spans="1:9" x14ac:dyDescent="0.25">
      <c r="A289" s="5" t="s">
        <v>1268</v>
      </c>
      <c r="B289" s="5" t="s">
        <v>790</v>
      </c>
      <c r="C289" s="5" t="s">
        <v>1397</v>
      </c>
      <c r="D289" s="6" t="s">
        <v>1398</v>
      </c>
      <c r="E289" s="6">
        <v>8</v>
      </c>
      <c r="F289" s="5" t="s">
        <v>1269</v>
      </c>
      <c r="G289" s="5" t="s">
        <v>155</v>
      </c>
      <c r="H289" s="7">
        <v>166</v>
      </c>
      <c r="I289" s="6" t="s">
        <v>17</v>
      </c>
    </row>
    <row r="290" spans="1:9" x14ac:dyDescent="0.25">
      <c r="A290" s="2" t="s">
        <v>1253</v>
      </c>
      <c r="B290" s="2" t="s">
        <v>790</v>
      </c>
      <c r="C290" s="2" t="s">
        <v>1397</v>
      </c>
      <c r="D290" s="3" t="s">
        <v>1398</v>
      </c>
      <c r="E290" s="3">
        <v>9</v>
      </c>
      <c r="F290" s="2" t="s">
        <v>1254</v>
      </c>
      <c r="G290" s="2" t="s">
        <v>382</v>
      </c>
      <c r="H290" s="4">
        <v>1251</v>
      </c>
      <c r="I290" s="3" t="s">
        <v>17</v>
      </c>
    </row>
    <row r="291" spans="1:9" x14ac:dyDescent="0.25">
      <c r="A291" s="5" t="s">
        <v>1245</v>
      </c>
      <c r="B291" s="5" t="s">
        <v>790</v>
      </c>
      <c r="C291" s="5" t="s">
        <v>1397</v>
      </c>
      <c r="D291" s="6" t="s">
        <v>1398</v>
      </c>
      <c r="E291" s="6">
        <v>10</v>
      </c>
      <c r="F291" s="5" t="s">
        <v>1246</v>
      </c>
      <c r="G291" s="5" t="s">
        <v>1247</v>
      </c>
      <c r="H291" s="7">
        <v>4374</v>
      </c>
      <c r="I291" s="6" t="s">
        <v>17</v>
      </c>
    </row>
    <row r="292" spans="1:9" x14ac:dyDescent="0.25">
      <c r="A292" s="2" t="s">
        <v>1266</v>
      </c>
      <c r="B292" s="2" t="s">
        <v>790</v>
      </c>
      <c r="C292" s="2" t="s">
        <v>1397</v>
      </c>
      <c r="D292" s="3" t="s">
        <v>1398</v>
      </c>
      <c r="E292" s="3">
        <v>11</v>
      </c>
      <c r="F292" s="2" t="s">
        <v>1267</v>
      </c>
      <c r="G292" s="2" t="s">
        <v>80</v>
      </c>
      <c r="H292" s="4">
        <v>177</v>
      </c>
      <c r="I292" s="3" t="s">
        <v>17</v>
      </c>
    </row>
    <row r="293" spans="1:9" x14ac:dyDescent="0.25">
      <c r="A293" s="5" t="s">
        <v>1258</v>
      </c>
      <c r="B293" s="5" t="s">
        <v>790</v>
      </c>
      <c r="C293" s="5" t="s">
        <v>1397</v>
      </c>
      <c r="D293" s="6" t="s">
        <v>1398</v>
      </c>
      <c r="E293" s="6">
        <v>12</v>
      </c>
      <c r="F293" s="5" t="s">
        <v>1259</v>
      </c>
      <c r="G293" s="5" t="s">
        <v>812</v>
      </c>
      <c r="H293" s="7">
        <v>735</v>
      </c>
      <c r="I293" s="6" t="s">
        <v>17</v>
      </c>
    </row>
    <row r="294" spans="1:9" x14ac:dyDescent="0.25">
      <c r="A294" s="2" t="s">
        <v>1264</v>
      </c>
      <c r="B294" s="2" t="s">
        <v>790</v>
      </c>
      <c r="C294" s="2" t="s">
        <v>1397</v>
      </c>
      <c r="D294" s="3" t="s">
        <v>1398</v>
      </c>
      <c r="E294" s="3">
        <v>13</v>
      </c>
      <c r="F294" s="2" t="s">
        <v>1265</v>
      </c>
      <c r="G294" s="2" t="s">
        <v>875</v>
      </c>
      <c r="H294" s="4">
        <v>444</v>
      </c>
      <c r="I294" s="3" t="s">
        <v>17</v>
      </c>
    </row>
    <row r="295" spans="1:9" x14ac:dyDescent="0.25">
      <c r="A295" s="8" t="s">
        <v>789</v>
      </c>
      <c r="B295" s="8" t="s">
        <v>790</v>
      </c>
      <c r="C295" s="8" t="s">
        <v>1397</v>
      </c>
      <c r="D295" s="9" t="s">
        <v>1398</v>
      </c>
      <c r="E295" s="9">
        <v>14</v>
      </c>
      <c r="F295" s="8" t="s">
        <v>791</v>
      </c>
      <c r="G295" s="8" t="s">
        <v>750</v>
      </c>
      <c r="H295" s="10">
        <v>78838</v>
      </c>
      <c r="I295" s="9" t="s">
        <v>33</v>
      </c>
    </row>
    <row r="296" spans="1:9" x14ac:dyDescent="0.25">
      <c r="A296" s="2" t="s">
        <v>1275</v>
      </c>
      <c r="B296" s="2" t="s">
        <v>71</v>
      </c>
      <c r="C296" s="2" t="s">
        <v>1399</v>
      </c>
      <c r="D296" s="3" t="s">
        <v>1400</v>
      </c>
      <c r="E296" s="3">
        <v>1</v>
      </c>
      <c r="F296" s="2" t="s">
        <v>1276</v>
      </c>
      <c r="G296" s="2" t="s">
        <v>214</v>
      </c>
      <c r="H296" s="4">
        <v>0</v>
      </c>
      <c r="I296" s="3" t="s">
        <v>17</v>
      </c>
    </row>
    <row r="297" spans="1:9" x14ac:dyDescent="0.25">
      <c r="A297" s="5" t="s">
        <v>1272</v>
      </c>
      <c r="B297" s="5" t="s">
        <v>71</v>
      </c>
      <c r="C297" s="5" t="s">
        <v>1399</v>
      </c>
      <c r="D297" s="6" t="s">
        <v>1400</v>
      </c>
      <c r="E297" s="6">
        <v>2</v>
      </c>
      <c r="F297" s="5" t="s">
        <v>1273</v>
      </c>
      <c r="G297" s="5" t="s">
        <v>1274</v>
      </c>
      <c r="H297" s="7">
        <v>1081</v>
      </c>
      <c r="I297" s="6" t="s">
        <v>17</v>
      </c>
    </row>
    <row r="298" spans="1:9" x14ac:dyDescent="0.25">
      <c r="A298" s="2" t="s">
        <v>1277</v>
      </c>
      <c r="B298" s="2" t="s">
        <v>71</v>
      </c>
      <c r="C298" s="2" t="s">
        <v>1399</v>
      </c>
      <c r="D298" s="3" t="s">
        <v>1400</v>
      </c>
      <c r="E298" s="3">
        <v>3</v>
      </c>
      <c r="F298" s="2" t="s">
        <v>1278</v>
      </c>
      <c r="G298" s="2" t="s">
        <v>743</v>
      </c>
      <c r="H298" s="4">
        <v>0</v>
      </c>
      <c r="I298" s="3" t="s">
        <v>17</v>
      </c>
    </row>
    <row r="299" spans="1:9" x14ac:dyDescent="0.25">
      <c r="A299" s="5" t="s">
        <v>1279</v>
      </c>
      <c r="B299" s="5" t="s">
        <v>71</v>
      </c>
      <c r="C299" s="5" t="s">
        <v>1399</v>
      </c>
      <c r="D299" s="6" t="s">
        <v>1400</v>
      </c>
      <c r="E299" s="6">
        <v>4</v>
      </c>
      <c r="F299" s="5" t="s">
        <v>1280</v>
      </c>
      <c r="G299" s="5" t="s">
        <v>1281</v>
      </c>
      <c r="H299" s="7">
        <v>0</v>
      </c>
      <c r="I299" s="6" t="s">
        <v>17</v>
      </c>
    </row>
    <row r="300" spans="1:9" x14ac:dyDescent="0.25">
      <c r="A300" s="2" t="s">
        <v>1282</v>
      </c>
      <c r="B300" s="2" t="s">
        <v>71</v>
      </c>
      <c r="C300" s="2" t="s">
        <v>1399</v>
      </c>
      <c r="D300" s="3" t="s">
        <v>1400</v>
      </c>
      <c r="E300" s="3">
        <v>5</v>
      </c>
      <c r="F300" s="2" t="s">
        <v>1283</v>
      </c>
      <c r="G300" s="2" t="s">
        <v>382</v>
      </c>
      <c r="H300" s="4">
        <v>0</v>
      </c>
      <c r="I300" s="3" t="s">
        <v>17</v>
      </c>
    </row>
    <row r="301" spans="1:9" x14ac:dyDescent="0.25">
      <c r="A301" s="8" t="s">
        <v>449</v>
      </c>
      <c r="B301" s="8" t="s">
        <v>71</v>
      </c>
      <c r="C301" s="8" t="s">
        <v>1399</v>
      </c>
      <c r="D301" s="9" t="s">
        <v>1400</v>
      </c>
      <c r="E301" s="9">
        <v>6</v>
      </c>
      <c r="F301" s="8" t="s">
        <v>450</v>
      </c>
      <c r="G301" s="8" t="s">
        <v>451</v>
      </c>
      <c r="H301" s="10">
        <v>62960</v>
      </c>
      <c r="I301" s="9" t="s">
        <v>33</v>
      </c>
    </row>
    <row r="302" spans="1:9" x14ac:dyDescent="0.25">
      <c r="A302" s="2" t="s">
        <v>284</v>
      </c>
      <c r="B302" s="2" t="s">
        <v>71</v>
      </c>
      <c r="C302" s="2" t="s">
        <v>1399</v>
      </c>
      <c r="D302" s="3" t="s">
        <v>1400</v>
      </c>
      <c r="E302" s="3">
        <v>7</v>
      </c>
      <c r="F302" s="2" t="s">
        <v>285</v>
      </c>
      <c r="G302" s="2" t="s">
        <v>286</v>
      </c>
      <c r="H302" s="4">
        <v>19497</v>
      </c>
      <c r="I302" s="3" t="s">
        <v>17</v>
      </c>
    </row>
    <row r="303" spans="1:9" x14ac:dyDescent="0.25">
      <c r="A303" s="5" t="s">
        <v>70</v>
      </c>
      <c r="B303" s="5" t="s">
        <v>71</v>
      </c>
      <c r="C303" s="5" t="s">
        <v>1399</v>
      </c>
      <c r="D303" s="6" t="s">
        <v>1400</v>
      </c>
      <c r="E303" s="6">
        <v>8</v>
      </c>
      <c r="F303" s="5" t="s">
        <v>72</v>
      </c>
      <c r="G303" s="5" t="s">
        <v>73</v>
      </c>
      <c r="H303" s="7">
        <v>14881</v>
      </c>
      <c r="I303" s="6" t="s">
        <v>17</v>
      </c>
    </row>
    <row r="304" spans="1:9" x14ac:dyDescent="0.25">
      <c r="A304" s="2" t="s">
        <v>146</v>
      </c>
      <c r="B304" s="2" t="s">
        <v>71</v>
      </c>
      <c r="C304" s="2" t="s">
        <v>1399</v>
      </c>
      <c r="D304" s="3" t="s">
        <v>1400</v>
      </c>
      <c r="E304" s="3">
        <v>9</v>
      </c>
      <c r="F304" s="2" t="s">
        <v>147</v>
      </c>
      <c r="G304" s="2" t="s">
        <v>148</v>
      </c>
      <c r="H304" s="4">
        <v>53359</v>
      </c>
      <c r="I304" s="3" t="s">
        <v>17</v>
      </c>
    </row>
    <row r="305" spans="1:9" x14ac:dyDescent="0.25">
      <c r="A305" s="5" t="s">
        <v>1270</v>
      </c>
      <c r="B305" s="5" t="s">
        <v>71</v>
      </c>
      <c r="C305" s="5" t="s">
        <v>1399</v>
      </c>
      <c r="D305" s="6" t="s">
        <v>1400</v>
      </c>
      <c r="E305" s="6">
        <v>10</v>
      </c>
      <c r="F305" s="5" t="s">
        <v>1271</v>
      </c>
      <c r="G305" s="5" t="s">
        <v>341</v>
      </c>
      <c r="H305" s="7">
        <v>1482</v>
      </c>
      <c r="I305" s="6" t="s">
        <v>17</v>
      </c>
    </row>
    <row r="306" spans="1:9" x14ac:dyDescent="0.25">
      <c r="A306" s="2" t="s">
        <v>291</v>
      </c>
      <c r="B306" s="2" t="s">
        <v>30</v>
      </c>
      <c r="C306" s="2" t="s">
        <v>1360</v>
      </c>
      <c r="D306" s="3" t="s">
        <v>1401</v>
      </c>
      <c r="E306" s="3">
        <v>1</v>
      </c>
      <c r="F306" s="2" t="s">
        <v>292</v>
      </c>
      <c r="G306" s="2" t="s">
        <v>41</v>
      </c>
      <c r="H306" s="4">
        <v>54221</v>
      </c>
      <c r="I306" s="3" t="s">
        <v>17</v>
      </c>
    </row>
    <row r="307" spans="1:9" x14ac:dyDescent="0.25">
      <c r="A307" s="5" t="s">
        <v>1288</v>
      </c>
      <c r="B307" s="5" t="s">
        <v>30</v>
      </c>
      <c r="C307" s="5" t="s">
        <v>1360</v>
      </c>
      <c r="D307" s="6" t="s">
        <v>1401</v>
      </c>
      <c r="E307" s="6">
        <v>2</v>
      </c>
      <c r="F307" s="5" t="s">
        <v>1289</v>
      </c>
      <c r="G307" s="5" t="s">
        <v>119</v>
      </c>
      <c r="H307" s="7">
        <v>1367</v>
      </c>
      <c r="I307" s="6" t="s">
        <v>17</v>
      </c>
    </row>
    <row r="308" spans="1:9" x14ac:dyDescent="0.25">
      <c r="A308" s="2" t="s">
        <v>1296</v>
      </c>
      <c r="B308" s="2" t="s">
        <v>30</v>
      </c>
      <c r="C308" s="2" t="s">
        <v>1360</v>
      </c>
      <c r="D308" s="3" t="s">
        <v>1401</v>
      </c>
      <c r="E308" s="3">
        <v>3</v>
      </c>
      <c r="F308" s="2" t="s">
        <v>1297</v>
      </c>
      <c r="G308" s="2" t="s">
        <v>815</v>
      </c>
      <c r="H308" s="4">
        <v>484</v>
      </c>
      <c r="I308" s="3" t="s">
        <v>17</v>
      </c>
    </row>
    <row r="309" spans="1:9" x14ac:dyDescent="0.25">
      <c r="A309" s="5" t="s">
        <v>1286</v>
      </c>
      <c r="B309" s="5" t="s">
        <v>30</v>
      </c>
      <c r="C309" s="5" t="s">
        <v>1360</v>
      </c>
      <c r="D309" s="6" t="s">
        <v>1401</v>
      </c>
      <c r="E309" s="6">
        <v>4</v>
      </c>
      <c r="F309" s="5" t="s">
        <v>1287</v>
      </c>
      <c r="G309" s="5" t="s">
        <v>80</v>
      </c>
      <c r="H309" s="7">
        <v>1502</v>
      </c>
      <c r="I309" s="6" t="s">
        <v>17</v>
      </c>
    </row>
    <row r="310" spans="1:9" x14ac:dyDescent="0.25">
      <c r="A310" s="2" t="s">
        <v>1294</v>
      </c>
      <c r="B310" s="2" t="s">
        <v>30</v>
      </c>
      <c r="C310" s="2" t="s">
        <v>1360</v>
      </c>
      <c r="D310" s="3" t="s">
        <v>1401</v>
      </c>
      <c r="E310" s="3">
        <v>5</v>
      </c>
      <c r="F310" s="2" t="s">
        <v>1295</v>
      </c>
      <c r="G310" s="2" t="s">
        <v>743</v>
      </c>
      <c r="H310" s="4">
        <v>614</v>
      </c>
      <c r="I310" s="3" t="s">
        <v>17</v>
      </c>
    </row>
    <row r="311" spans="1:9" x14ac:dyDescent="0.25">
      <c r="A311" s="5" t="s">
        <v>1284</v>
      </c>
      <c r="B311" s="5" t="s">
        <v>30</v>
      </c>
      <c r="C311" s="5" t="s">
        <v>1360</v>
      </c>
      <c r="D311" s="6" t="s">
        <v>1401</v>
      </c>
      <c r="E311" s="6">
        <v>6</v>
      </c>
      <c r="F311" s="5" t="s">
        <v>1285</v>
      </c>
      <c r="G311" s="5" t="s">
        <v>812</v>
      </c>
      <c r="H311" s="7">
        <v>5215</v>
      </c>
      <c r="I311" s="6" t="s">
        <v>17</v>
      </c>
    </row>
    <row r="312" spans="1:9" x14ac:dyDescent="0.25">
      <c r="A312" s="8" t="s">
        <v>29</v>
      </c>
      <c r="B312" s="8" t="s">
        <v>30</v>
      </c>
      <c r="C312" s="8" t="s">
        <v>1360</v>
      </c>
      <c r="D312" s="9" t="s">
        <v>1401</v>
      </c>
      <c r="E312" s="9">
        <v>7</v>
      </c>
      <c r="F312" s="8" t="s">
        <v>31</v>
      </c>
      <c r="G312" s="8" t="s">
        <v>32</v>
      </c>
      <c r="H312" s="10">
        <v>85145</v>
      </c>
      <c r="I312" s="9" t="s">
        <v>33</v>
      </c>
    </row>
    <row r="313" spans="1:9" x14ac:dyDescent="0.25">
      <c r="A313" s="5" t="s">
        <v>204</v>
      </c>
      <c r="B313" s="5" t="s">
        <v>30</v>
      </c>
      <c r="C313" s="5" t="s">
        <v>1360</v>
      </c>
      <c r="D313" s="6" t="s">
        <v>1401</v>
      </c>
      <c r="E313" s="6">
        <v>8</v>
      </c>
      <c r="F313" s="5" t="s">
        <v>205</v>
      </c>
      <c r="G313" s="5" t="s">
        <v>206</v>
      </c>
      <c r="H313" s="7">
        <v>26451</v>
      </c>
      <c r="I313" s="6" t="s">
        <v>17</v>
      </c>
    </row>
    <row r="314" spans="1:9" x14ac:dyDescent="0.25">
      <c r="A314" s="2" t="s">
        <v>1290</v>
      </c>
      <c r="B314" s="2" t="s">
        <v>30</v>
      </c>
      <c r="C314" s="2" t="s">
        <v>1360</v>
      </c>
      <c r="D314" s="3" t="s">
        <v>1401</v>
      </c>
      <c r="E314" s="3">
        <v>9</v>
      </c>
      <c r="F314" s="2" t="s">
        <v>1291</v>
      </c>
      <c r="G314" s="2" t="s">
        <v>945</v>
      </c>
      <c r="H314" s="4">
        <v>1227</v>
      </c>
      <c r="I314" s="3" t="s">
        <v>17</v>
      </c>
    </row>
    <row r="315" spans="1:9" x14ac:dyDescent="0.25">
      <c r="A315" s="5" t="s">
        <v>1298</v>
      </c>
      <c r="B315" s="5" t="s">
        <v>30</v>
      </c>
      <c r="C315" s="5" t="s">
        <v>1360</v>
      </c>
      <c r="D315" s="6" t="s">
        <v>1401</v>
      </c>
      <c r="E315" s="6">
        <v>10</v>
      </c>
      <c r="F315" s="5" t="s">
        <v>1299</v>
      </c>
      <c r="G315" s="5" t="s">
        <v>925</v>
      </c>
      <c r="H315" s="7">
        <v>320</v>
      </c>
      <c r="I315" s="6" t="s">
        <v>17</v>
      </c>
    </row>
    <row r="316" spans="1:9" x14ac:dyDescent="0.25">
      <c r="A316" s="2" t="s">
        <v>1292</v>
      </c>
      <c r="B316" s="2" t="s">
        <v>30</v>
      </c>
      <c r="C316" s="2" t="s">
        <v>1360</v>
      </c>
      <c r="D316" s="3" t="s">
        <v>1401</v>
      </c>
      <c r="E316" s="3">
        <v>11</v>
      </c>
      <c r="F316" s="2" t="s">
        <v>1293</v>
      </c>
      <c r="G316" s="2" t="s">
        <v>660</v>
      </c>
      <c r="H316" s="4">
        <v>1221</v>
      </c>
      <c r="I316" s="3" t="s">
        <v>17</v>
      </c>
    </row>
    <row r="317" spans="1:9" x14ac:dyDescent="0.25">
      <c r="A317" s="5" t="s">
        <v>761</v>
      </c>
      <c r="B317" s="5" t="s">
        <v>197</v>
      </c>
      <c r="C317" s="5" t="s">
        <v>1402</v>
      </c>
      <c r="D317" s="6" t="s">
        <v>1403</v>
      </c>
      <c r="E317" s="6">
        <v>1</v>
      </c>
      <c r="F317" s="5" t="s">
        <v>762</v>
      </c>
      <c r="G317" s="5" t="s">
        <v>763</v>
      </c>
      <c r="H317" s="7">
        <v>11661</v>
      </c>
      <c r="I317" s="6" t="s">
        <v>17</v>
      </c>
    </row>
    <row r="318" spans="1:9" x14ac:dyDescent="0.25">
      <c r="A318" s="2" t="s">
        <v>1309</v>
      </c>
      <c r="B318" s="2" t="s">
        <v>197</v>
      </c>
      <c r="C318" s="2" t="s">
        <v>1402</v>
      </c>
      <c r="D318" s="3" t="s">
        <v>1403</v>
      </c>
      <c r="E318" s="3">
        <v>2</v>
      </c>
      <c r="F318" s="2" t="s">
        <v>1310</v>
      </c>
      <c r="G318" s="2" t="s">
        <v>694</v>
      </c>
      <c r="H318" s="4">
        <v>192</v>
      </c>
      <c r="I318" s="3" t="s">
        <v>17</v>
      </c>
    </row>
    <row r="319" spans="1:9" x14ac:dyDescent="0.25">
      <c r="A319" s="5" t="s">
        <v>1311</v>
      </c>
      <c r="B319" s="5" t="s">
        <v>197</v>
      </c>
      <c r="C319" s="5" t="s">
        <v>1402</v>
      </c>
      <c r="D319" s="6" t="s">
        <v>1403</v>
      </c>
      <c r="E319" s="6">
        <v>3</v>
      </c>
      <c r="F319" s="5" t="s">
        <v>1312</v>
      </c>
      <c r="G319" s="5" t="s">
        <v>235</v>
      </c>
      <c r="H319" s="7">
        <v>0</v>
      </c>
      <c r="I319" s="6" t="s">
        <v>17</v>
      </c>
    </row>
    <row r="320" spans="1:9" x14ac:dyDescent="0.25">
      <c r="A320" s="2" t="s">
        <v>1307</v>
      </c>
      <c r="B320" s="2" t="s">
        <v>197</v>
      </c>
      <c r="C320" s="2" t="s">
        <v>1402</v>
      </c>
      <c r="D320" s="3" t="s">
        <v>1403</v>
      </c>
      <c r="E320" s="3">
        <v>4</v>
      </c>
      <c r="F320" s="2" t="s">
        <v>1308</v>
      </c>
      <c r="G320" s="2" t="s">
        <v>382</v>
      </c>
      <c r="H320" s="4">
        <v>999</v>
      </c>
      <c r="I320" s="3" t="s">
        <v>17</v>
      </c>
    </row>
    <row r="321" spans="1:9" x14ac:dyDescent="0.25">
      <c r="A321" s="5" t="s">
        <v>1305</v>
      </c>
      <c r="B321" s="5" t="s">
        <v>197</v>
      </c>
      <c r="C321" s="5" t="s">
        <v>1402</v>
      </c>
      <c r="D321" s="6" t="s">
        <v>1403</v>
      </c>
      <c r="E321" s="6">
        <v>5</v>
      </c>
      <c r="F321" s="5" t="s">
        <v>1306</v>
      </c>
      <c r="G321" s="5" t="s">
        <v>494</v>
      </c>
      <c r="H321" s="7">
        <v>6035</v>
      </c>
      <c r="I321" s="6" t="s">
        <v>17</v>
      </c>
    </row>
    <row r="322" spans="1:9" x14ac:dyDescent="0.25">
      <c r="A322" s="2" t="s">
        <v>1302</v>
      </c>
      <c r="B322" s="2" t="s">
        <v>197</v>
      </c>
      <c r="C322" s="2" t="s">
        <v>1402</v>
      </c>
      <c r="D322" s="3" t="s">
        <v>1403</v>
      </c>
      <c r="E322" s="3">
        <v>6</v>
      </c>
      <c r="F322" s="2" t="s">
        <v>1303</v>
      </c>
      <c r="G322" s="2" t="s">
        <v>1304</v>
      </c>
      <c r="H322" s="4">
        <v>7195</v>
      </c>
      <c r="I322" s="3" t="s">
        <v>17</v>
      </c>
    </row>
    <row r="323" spans="1:9" x14ac:dyDescent="0.25">
      <c r="A323" s="5" t="s">
        <v>1300</v>
      </c>
      <c r="B323" s="5" t="s">
        <v>197</v>
      </c>
      <c r="C323" s="5" t="s">
        <v>1402</v>
      </c>
      <c r="D323" s="6" t="s">
        <v>1403</v>
      </c>
      <c r="E323" s="6">
        <v>7</v>
      </c>
      <c r="F323" s="5" t="s">
        <v>1301</v>
      </c>
      <c r="G323" s="5" t="s">
        <v>41</v>
      </c>
      <c r="H323" s="7">
        <v>8967</v>
      </c>
      <c r="I323" s="6" t="s">
        <v>17</v>
      </c>
    </row>
    <row r="324" spans="1:9" x14ac:dyDescent="0.25">
      <c r="A324" s="2" t="s">
        <v>362</v>
      </c>
      <c r="B324" s="2" t="s">
        <v>197</v>
      </c>
      <c r="C324" s="2" t="s">
        <v>1402</v>
      </c>
      <c r="D324" s="3" t="s">
        <v>1403</v>
      </c>
      <c r="E324" s="3">
        <v>8</v>
      </c>
      <c r="F324" s="2" t="s">
        <v>363</v>
      </c>
      <c r="G324" s="2" t="s">
        <v>364</v>
      </c>
      <c r="H324" s="4">
        <v>18782</v>
      </c>
      <c r="I324" s="3" t="s">
        <v>17</v>
      </c>
    </row>
    <row r="325" spans="1:9" x14ac:dyDescent="0.25">
      <c r="A325" s="8" t="s">
        <v>196</v>
      </c>
      <c r="B325" s="8" t="s">
        <v>197</v>
      </c>
      <c r="C325" s="8" t="s">
        <v>1402</v>
      </c>
      <c r="D325" s="9" t="s">
        <v>1403</v>
      </c>
      <c r="E325" s="9">
        <v>9</v>
      </c>
      <c r="F325" s="8" t="s">
        <v>198</v>
      </c>
      <c r="G325" s="8" t="s">
        <v>199</v>
      </c>
      <c r="H325" s="10">
        <v>27338</v>
      </c>
      <c r="I325" s="9" t="s">
        <v>33</v>
      </c>
    </row>
    <row r="326" spans="1:9" x14ac:dyDescent="0.25">
      <c r="A326" s="2" t="s">
        <v>1313</v>
      </c>
      <c r="B326" s="2" t="s">
        <v>86</v>
      </c>
      <c r="C326" s="2" t="s">
        <v>1404</v>
      </c>
      <c r="D326" s="3" t="s">
        <v>1405</v>
      </c>
      <c r="E326" s="3">
        <v>1</v>
      </c>
      <c r="F326" s="2" t="s">
        <v>1314</v>
      </c>
      <c r="G326" s="2" t="s">
        <v>341</v>
      </c>
      <c r="H326" s="4">
        <v>10313</v>
      </c>
      <c r="I326" s="3" t="s">
        <v>17</v>
      </c>
    </row>
    <row r="327" spans="1:9" x14ac:dyDescent="0.25">
      <c r="A327" s="5" t="s">
        <v>492</v>
      </c>
      <c r="B327" s="5" t="s">
        <v>86</v>
      </c>
      <c r="C327" s="5" t="s">
        <v>1404</v>
      </c>
      <c r="D327" s="6" t="s">
        <v>1405</v>
      </c>
      <c r="E327" s="6">
        <v>2</v>
      </c>
      <c r="F327" s="5" t="s">
        <v>493</v>
      </c>
      <c r="G327" s="5" t="s">
        <v>494</v>
      </c>
      <c r="H327" s="7">
        <v>11003</v>
      </c>
      <c r="I327" s="6" t="s">
        <v>17</v>
      </c>
    </row>
    <row r="328" spans="1:9" x14ac:dyDescent="0.25">
      <c r="A328" s="2" t="s">
        <v>1322</v>
      </c>
      <c r="B328" s="2" t="s">
        <v>86</v>
      </c>
      <c r="C328" s="2" t="s">
        <v>1404</v>
      </c>
      <c r="D328" s="3" t="s">
        <v>1405</v>
      </c>
      <c r="E328" s="3">
        <v>3</v>
      </c>
      <c r="F328" s="2" t="s">
        <v>1323</v>
      </c>
      <c r="G328" s="2" t="s">
        <v>694</v>
      </c>
      <c r="H328" s="4">
        <v>14</v>
      </c>
      <c r="I328" s="3" t="s">
        <v>17</v>
      </c>
    </row>
    <row r="329" spans="1:9" x14ac:dyDescent="0.25">
      <c r="A329" s="5" t="s">
        <v>1320</v>
      </c>
      <c r="B329" s="5" t="s">
        <v>86</v>
      </c>
      <c r="C329" s="5" t="s">
        <v>1404</v>
      </c>
      <c r="D329" s="6" t="s">
        <v>1405</v>
      </c>
      <c r="E329" s="6">
        <v>4</v>
      </c>
      <c r="F329" s="5" t="s">
        <v>1321</v>
      </c>
      <c r="G329" s="5" t="s">
        <v>815</v>
      </c>
      <c r="H329" s="7">
        <v>171</v>
      </c>
      <c r="I329" s="6" t="s">
        <v>17</v>
      </c>
    </row>
    <row r="330" spans="1:9" x14ac:dyDescent="0.25">
      <c r="A330" s="2" t="s">
        <v>117</v>
      </c>
      <c r="B330" s="2" t="s">
        <v>86</v>
      </c>
      <c r="C330" s="2" t="s">
        <v>1404</v>
      </c>
      <c r="D330" s="3" t="s">
        <v>1405</v>
      </c>
      <c r="E330" s="3">
        <v>5</v>
      </c>
      <c r="F330" s="2" t="s">
        <v>118</v>
      </c>
      <c r="G330" s="2" t="s">
        <v>119</v>
      </c>
      <c r="H330" s="4">
        <v>25715</v>
      </c>
      <c r="I330" s="3" t="s">
        <v>17</v>
      </c>
    </row>
    <row r="331" spans="1:9" x14ac:dyDescent="0.25">
      <c r="A331" s="5" t="s">
        <v>561</v>
      </c>
      <c r="B331" s="5" t="s">
        <v>86</v>
      </c>
      <c r="C331" s="5" t="s">
        <v>1404</v>
      </c>
      <c r="D331" s="6" t="s">
        <v>1405</v>
      </c>
      <c r="E331" s="6">
        <v>6</v>
      </c>
      <c r="F331" s="5" t="s">
        <v>562</v>
      </c>
      <c r="G331" s="5" t="s">
        <v>563</v>
      </c>
      <c r="H331" s="7">
        <v>19339</v>
      </c>
      <c r="I331" s="6" t="s">
        <v>17</v>
      </c>
    </row>
    <row r="332" spans="1:9" x14ac:dyDescent="0.25">
      <c r="A332" s="8" t="s">
        <v>219</v>
      </c>
      <c r="B332" s="8" t="s">
        <v>86</v>
      </c>
      <c r="C332" s="8" t="s">
        <v>1404</v>
      </c>
      <c r="D332" s="9" t="s">
        <v>1405</v>
      </c>
      <c r="E332" s="9">
        <v>7</v>
      </c>
      <c r="F332" s="8" t="s">
        <v>220</v>
      </c>
      <c r="G332" s="8" t="s">
        <v>221</v>
      </c>
      <c r="H332" s="10">
        <v>71590</v>
      </c>
      <c r="I332" s="9" t="s">
        <v>33</v>
      </c>
    </row>
    <row r="333" spans="1:9" x14ac:dyDescent="0.25">
      <c r="A333" s="5" t="s">
        <v>85</v>
      </c>
      <c r="B333" s="5" t="s">
        <v>86</v>
      </c>
      <c r="C333" s="5" t="s">
        <v>1404</v>
      </c>
      <c r="D333" s="6" t="s">
        <v>1405</v>
      </c>
      <c r="E333" s="6">
        <v>8</v>
      </c>
      <c r="F333" s="5" t="s">
        <v>87</v>
      </c>
      <c r="G333" s="5" t="s">
        <v>88</v>
      </c>
      <c r="H333" s="7">
        <v>21413</v>
      </c>
      <c r="I333" s="6" t="s">
        <v>17</v>
      </c>
    </row>
    <row r="334" spans="1:9" x14ac:dyDescent="0.25">
      <c r="A334" s="2" t="s">
        <v>1318</v>
      </c>
      <c r="B334" s="2" t="s">
        <v>86</v>
      </c>
      <c r="C334" s="2" t="s">
        <v>1404</v>
      </c>
      <c r="D334" s="3" t="s">
        <v>1405</v>
      </c>
      <c r="E334" s="3">
        <v>9</v>
      </c>
      <c r="F334" s="2" t="s">
        <v>1319</v>
      </c>
      <c r="G334" s="2" t="s">
        <v>206</v>
      </c>
      <c r="H334" s="4">
        <v>2027</v>
      </c>
      <c r="I334" s="3" t="s">
        <v>17</v>
      </c>
    </row>
    <row r="335" spans="1:9" x14ac:dyDescent="0.25">
      <c r="A335" s="5" t="s">
        <v>1315</v>
      </c>
      <c r="B335" s="5" t="s">
        <v>86</v>
      </c>
      <c r="C335" s="5" t="s">
        <v>1404</v>
      </c>
      <c r="D335" s="6" t="s">
        <v>1405</v>
      </c>
      <c r="E335" s="6">
        <v>10</v>
      </c>
      <c r="F335" s="5" t="s">
        <v>1316</v>
      </c>
      <c r="G335" s="5" t="s">
        <v>1317</v>
      </c>
      <c r="H335" s="7">
        <v>5799</v>
      </c>
      <c r="I335" s="6" t="s">
        <v>17</v>
      </c>
    </row>
    <row r="336" spans="1:9" x14ac:dyDescent="0.25">
      <c r="A336" s="2" t="s">
        <v>1324</v>
      </c>
      <c r="B336" s="2" t="s">
        <v>55</v>
      </c>
      <c r="C336" s="2" t="s">
        <v>1406</v>
      </c>
      <c r="D336" s="3" t="s">
        <v>1407</v>
      </c>
      <c r="E336" s="3">
        <v>1</v>
      </c>
      <c r="F336" s="2" t="s">
        <v>1325</v>
      </c>
      <c r="G336" s="2" t="s">
        <v>953</v>
      </c>
      <c r="H336" s="4">
        <v>6607</v>
      </c>
      <c r="I336" s="3" t="s">
        <v>17</v>
      </c>
    </row>
    <row r="337" spans="1:9" x14ac:dyDescent="0.25">
      <c r="A337" s="5" t="s">
        <v>1343</v>
      </c>
      <c r="B337" s="5" t="s">
        <v>55</v>
      </c>
      <c r="C337" s="5" t="s">
        <v>1406</v>
      </c>
      <c r="D337" s="6" t="s">
        <v>1407</v>
      </c>
      <c r="E337" s="6">
        <v>2</v>
      </c>
      <c r="F337" s="5" t="s">
        <v>1344</v>
      </c>
      <c r="G337" s="5" t="s">
        <v>199</v>
      </c>
      <c r="H337" s="7">
        <v>458</v>
      </c>
      <c r="I337" s="6" t="s">
        <v>17</v>
      </c>
    </row>
    <row r="338" spans="1:9" x14ac:dyDescent="0.25">
      <c r="A338" s="2" t="s">
        <v>428</v>
      </c>
      <c r="B338" s="2" t="s">
        <v>55</v>
      </c>
      <c r="C338" s="2" t="s">
        <v>1406</v>
      </c>
      <c r="D338" s="3" t="s">
        <v>1407</v>
      </c>
      <c r="E338" s="3">
        <v>3</v>
      </c>
      <c r="F338" s="2" t="s">
        <v>429</v>
      </c>
      <c r="G338" s="2" t="s">
        <v>430</v>
      </c>
      <c r="H338" s="4">
        <v>63046</v>
      </c>
      <c r="I338" s="3" t="s">
        <v>17</v>
      </c>
    </row>
    <row r="339" spans="1:9" x14ac:dyDescent="0.25">
      <c r="A339" s="5" t="s">
        <v>1328</v>
      </c>
      <c r="B339" s="5" t="s">
        <v>55</v>
      </c>
      <c r="C339" s="5" t="s">
        <v>1406</v>
      </c>
      <c r="D339" s="6" t="s">
        <v>1407</v>
      </c>
      <c r="E339" s="6">
        <v>4</v>
      </c>
      <c r="F339" s="5" t="s">
        <v>1329</v>
      </c>
      <c r="G339" s="5" t="s">
        <v>1330</v>
      </c>
      <c r="H339" s="7">
        <v>4900</v>
      </c>
      <c r="I339" s="6" t="s">
        <v>17</v>
      </c>
    </row>
    <row r="340" spans="1:9" x14ac:dyDescent="0.25">
      <c r="A340" s="8" t="s">
        <v>54</v>
      </c>
      <c r="B340" s="8" t="s">
        <v>55</v>
      </c>
      <c r="C340" s="8" t="s">
        <v>1406</v>
      </c>
      <c r="D340" s="9" t="s">
        <v>1407</v>
      </c>
      <c r="E340" s="9">
        <v>5</v>
      </c>
      <c r="F340" s="8" t="s">
        <v>56</v>
      </c>
      <c r="G340" s="8" t="s">
        <v>57</v>
      </c>
      <c r="H340" s="10">
        <v>70987</v>
      </c>
      <c r="I340" s="9" t="s">
        <v>33</v>
      </c>
    </row>
    <row r="341" spans="1:9" x14ac:dyDescent="0.25">
      <c r="A341" s="5" t="s">
        <v>1345</v>
      </c>
      <c r="B341" s="5" t="s">
        <v>55</v>
      </c>
      <c r="C341" s="5" t="s">
        <v>1406</v>
      </c>
      <c r="D341" s="6" t="s">
        <v>1407</v>
      </c>
      <c r="E341" s="6">
        <v>6</v>
      </c>
      <c r="F341" s="5" t="s">
        <v>1346</v>
      </c>
      <c r="G341" s="5" t="s">
        <v>875</v>
      </c>
      <c r="H341" s="7">
        <v>342</v>
      </c>
      <c r="I341" s="6" t="s">
        <v>17</v>
      </c>
    </row>
    <row r="342" spans="1:9" x14ac:dyDescent="0.25">
      <c r="A342" s="2" t="s">
        <v>1333</v>
      </c>
      <c r="B342" s="2" t="s">
        <v>55</v>
      </c>
      <c r="C342" s="2" t="s">
        <v>1406</v>
      </c>
      <c r="D342" s="3" t="s">
        <v>1407</v>
      </c>
      <c r="E342" s="3">
        <v>7</v>
      </c>
      <c r="F342" s="2" t="s">
        <v>1334</v>
      </c>
      <c r="G342" s="2" t="s">
        <v>1335</v>
      </c>
      <c r="H342" s="4">
        <v>943</v>
      </c>
      <c r="I342" s="3" t="s">
        <v>17</v>
      </c>
    </row>
    <row r="343" spans="1:9" x14ac:dyDescent="0.25">
      <c r="A343" s="5" t="s">
        <v>692</v>
      </c>
      <c r="B343" s="5" t="s">
        <v>55</v>
      </c>
      <c r="C343" s="5" t="s">
        <v>1406</v>
      </c>
      <c r="D343" s="6" t="s">
        <v>1407</v>
      </c>
      <c r="E343" s="6">
        <v>8</v>
      </c>
      <c r="F343" s="5" t="s">
        <v>693</v>
      </c>
      <c r="G343" s="5" t="s">
        <v>694</v>
      </c>
      <c r="H343" s="7">
        <v>15058</v>
      </c>
      <c r="I343" s="6" t="s">
        <v>17</v>
      </c>
    </row>
    <row r="344" spans="1:9" x14ac:dyDescent="0.25">
      <c r="A344" s="2" t="s">
        <v>1331</v>
      </c>
      <c r="B344" s="2" t="s">
        <v>55</v>
      </c>
      <c r="C344" s="2" t="s">
        <v>1406</v>
      </c>
      <c r="D344" s="3" t="s">
        <v>1407</v>
      </c>
      <c r="E344" s="3">
        <v>9</v>
      </c>
      <c r="F344" s="2" t="s">
        <v>1332</v>
      </c>
      <c r="G344" s="2" t="s">
        <v>341</v>
      </c>
      <c r="H344" s="4">
        <v>1281</v>
      </c>
      <c r="I344" s="3" t="s">
        <v>17</v>
      </c>
    </row>
    <row r="345" spans="1:9" x14ac:dyDescent="0.25">
      <c r="A345" s="5" t="s">
        <v>1349</v>
      </c>
      <c r="B345" s="5" t="s">
        <v>55</v>
      </c>
      <c r="C345" s="5" t="s">
        <v>1406</v>
      </c>
      <c r="D345" s="6" t="s">
        <v>1407</v>
      </c>
      <c r="E345" s="6">
        <v>10</v>
      </c>
      <c r="F345" s="5" t="s">
        <v>1350</v>
      </c>
      <c r="G345" s="5" t="s">
        <v>382</v>
      </c>
      <c r="H345" s="7">
        <v>230</v>
      </c>
      <c r="I345" s="6" t="s">
        <v>17</v>
      </c>
    </row>
    <row r="346" spans="1:9" x14ac:dyDescent="0.25">
      <c r="A346" s="2" t="s">
        <v>1336</v>
      </c>
      <c r="B346" s="2" t="s">
        <v>55</v>
      </c>
      <c r="C346" s="2" t="s">
        <v>1406</v>
      </c>
      <c r="D346" s="3" t="s">
        <v>1407</v>
      </c>
      <c r="E346" s="3">
        <v>11</v>
      </c>
      <c r="F346" s="2" t="s">
        <v>1337</v>
      </c>
      <c r="G346" s="2" t="s">
        <v>1338</v>
      </c>
      <c r="H346" s="4">
        <v>802</v>
      </c>
      <c r="I346" s="3" t="s">
        <v>17</v>
      </c>
    </row>
    <row r="347" spans="1:9" x14ac:dyDescent="0.25">
      <c r="A347" s="5" t="s">
        <v>1341</v>
      </c>
      <c r="B347" s="5" t="s">
        <v>55</v>
      </c>
      <c r="C347" s="5" t="s">
        <v>1406</v>
      </c>
      <c r="D347" s="6" t="s">
        <v>1407</v>
      </c>
      <c r="E347" s="6">
        <v>12</v>
      </c>
      <c r="F347" s="5" t="s">
        <v>1342</v>
      </c>
      <c r="G347" s="5" t="s">
        <v>807</v>
      </c>
      <c r="H347" s="7">
        <v>549</v>
      </c>
      <c r="I347" s="6" t="s">
        <v>17</v>
      </c>
    </row>
    <row r="348" spans="1:9" x14ac:dyDescent="0.25">
      <c r="A348" s="2" t="s">
        <v>1326</v>
      </c>
      <c r="B348" s="2" t="s">
        <v>55</v>
      </c>
      <c r="C348" s="2" t="s">
        <v>1406</v>
      </c>
      <c r="D348" s="3" t="s">
        <v>1407</v>
      </c>
      <c r="E348" s="3">
        <v>13</v>
      </c>
      <c r="F348" s="2" t="s">
        <v>1327</v>
      </c>
      <c r="G348" s="2" t="s">
        <v>214</v>
      </c>
      <c r="H348" s="4">
        <v>5839</v>
      </c>
      <c r="I348" s="3" t="s">
        <v>17</v>
      </c>
    </row>
    <row r="349" spans="1:9" x14ac:dyDescent="0.25">
      <c r="A349" s="5" t="s">
        <v>1339</v>
      </c>
      <c r="B349" s="5" t="s">
        <v>55</v>
      </c>
      <c r="C349" s="5" t="s">
        <v>1406</v>
      </c>
      <c r="D349" s="6" t="s">
        <v>1407</v>
      </c>
      <c r="E349" s="6">
        <v>14</v>
      </c>
      <c r="F349" s="5" t="s">
        <v>1340</v>
      </c>
      <c r="G349" s="5" t="s">
        <v>16</v>
      </c>
      <c r="H349" s="7">
        <v>658</v>
      </c>
      <c r="I349" s="6" t="s">
        <v>17</v>
      </c>
    </row>
    <row r="350" spans="1:9" x14ac:dyDescent="0.25">
      <c r="A350" s="2" t="s">
        <v>1347</v>
      </c>
      <c r="B350" s="2" t="s">
        <v>55</v>
      </c>
      <c r="C350" s="2" t="s">
        <v>1406</v>
      </c>
      <c r="D350" s="3" t="s">
        <v>1407</v>
      </c>
      <c r="E350" s="3">
        <v>15</v>
      </c>
      <c r="F350" s="2" t="s">
        <v>1348</v>
      </c>
      <c r="G350" s="2" t="s">
        <v>206</v>
      </c>
      <c r="H350" s="4">
        <v>245</v>
      </c>
      <c r="I350" s="3" t="s">
        <v>17</v>
      </c>
    </row>
    <row r="351" spans="1:9" x14ac:dyDescent="0.25">
      <c r="A351" s="5" t="s">
        <v>304</v>
      </c>
      <c r="B351" s="5" t="s">
        <v>55</v>
      </c>
      <c r="C351" s="5" t="s">
        <v>1406</v>
      </c>
      <c r="D351" s="6" t="s">
        <v>1407</v>
      </c>
      <c r="E351" s="6">
        <v>16</v>
      </c>
      <c r="F351" s="5" t="s">
        <v>305</v>
      </c>
      <c r="G351" s="5" t="s">
        <v>306</v>
      </c>
      <c r="H351" s="7">
        <v>40604</v>
      </c>
      <c r="I351" s="6" t="s">
        <v>17</v>
      </c>
    </row>
  </sheetData>
  <autoFilter ref="A1:I351" xr:uid="{00000000-0009-0000-0000-000000000000}">
    <sortState xmlns:xlrd2="http://schemas.microsoft.com/office/spreadsheetml/2017/richdata2" ref="A2:I351">
      <sortCondition ref="B1:B351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50"/>
  <sheetViews>
    <sheetView tabSelected="1" topLeftCell="H1" workbookViewId="0">
      <selection activeCell="H7" sqref="H7"/>
    </sheetView>
  </sheetViews>
  <sheetFormatPr baseColWidth="10" defaultColWidth="9.140625" defaultRowHeight="15" x14ac:dyDescent="0.25"/>
  <cols>
    <col min="4" max="4" width="39.425781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t="s">
        <v>13</v>
      </c>
      <c r="B2">
        <v>21889</v>
      </c>
      <c r="C2" t="s">
        <v>14</v>
      </c>
      <c r="D2" t="s">
        <v>15</v>
      </c>
      <c r="E2" t="s">
        <v>16</v>
      </c>
      <c r="F2" t="s">
        <v>17</v>
      </c>
      <c r="G2">
        <v>0</v>
      </c>
      <c r="J2" t="s">
        <v>18</v>
      </c>
      <c r="K2" t="s">
        <v>19</v>
      </c>
      <c r="M2" t="s">
        <v>20</v>
      </c>
    </row>
    <row r="3" spans="1:13" x14ac:dyDescent="0.25">
      <c r="A3" t="s">
        <v>21</v>
      </c>
      <c r="B3">
        <v>27261</v>
      </c>
      <c r="C3" t="s">
        <v>22</v>
      </c>
      <c r="D3" t="s">
        <v>23</v>
      </c>
      <c r="E3" t="s">
        <v>24</v>
      </c>
      <c r="F3" t="s">
        <v>17</v>
      </c>
      <c r="G3">
        <v>0</v>
      </c>
      <c r="J3" t="s">
        <v>25</v>
      </c>
      <c r="K3" t="s">
        <v>26</v>
      </c>
      <c r="L3" t="s">
        <v>27</v>
      </c>
      <c r="M3" t="s">
        <v>28</v>
      </c>
    </row>
    <row r="4" spans="1:13" x14ac:dyDescent="0.25">
      <c r="A4" t="s">
        <v>29</v>
      </c>
      <c r="B4">
        <v>85145</v>
      </c>
      <c r="C4" t="s">
        <v>30</v>
      </c>
      <c r="D4" t="s">
        <v>31</v>
      </c>
      <c r="E4" t="s">
        <v>32</v>
      </c>
      <c r="F4" t="s">
        <v>33</v>
      </c>
      <c r="G4">
        <v>1</v>
      </c>
      <c r="J4" t="s">
        <v>34</v>
      </c>
      <c r="K4" t="s">
        <v>35</v>
      </c>
      <c r="L4" t="s">
        <v>36</v>
      </c>
      <c r="M4" t="s">
        <v>37</v>
      </c>
    </row>
    <row r="5" spans="1:13" x14ac:dyDescent="0.25">
      <c r="A5" t="s">
        <v>38</v>
      </c>
      <c r="B5">
        <v>417644</v>
      </c>
      <c r="C5" t="s">
        <v>39</v>
      </c>
      <c r="D5" t="s">
        <v>40</v>
      </c>
      <c r="E5" t="s">
        <v>41</v>
      </c>
      <c r="F5" t="s">
        <v>33</v>
      </c>
      <c r="G5">
        <v>1</v>
      </c>
      <c r="J5" t="s">
        <v>42</v>
      </c>
      <c r="K5" t="s">
        <v>43</v>
      </c>
      <c r="L5" t="s">
        <v>44</v>
      </c>
      <c r="M5" t="s">
        <v>45</v>
      </c>
    </row>
    <row r="6" spans="1:13" x14ac:dyDescent="0.25">
      <c r="A6" t="s">
        <v>46</v>
      </c>
      <c r="B6">
        <v>318656</v>
      </c>
      <c r="C6" t="s">
        <v>47</v>
      </c>
      <c r="D6" t="s">
        <v>48</v>
      </c>
      <c r="E6" t="s">
        <v>49</v>
      </c>
      <c r="F6" t="s">
        <v>33</v>
      </c>
      <c r="G6">
        <v>1</v>
      </c>
      <c r="J6" t="s">
        <v>50</v>
      </c>
      <c r="K6" t="s">
        <v>51</v>
      </c>
      <c r="L6" t="s">
        <v>52</v>
      </c>
      <c r="M6" t="s">
        <v>53</v>
      </c>
    </row>
    <row r="7" spans="1:13" x14ac:dyDescent="0.25">
      <c r="A7" t="s">
        <v>54</v>
      </c>
      <c r="B7">
        <v>70987</v>
      </c>
      <c r="C7" t="s">
        <v>55</v>
      </c>
      <c r="D7" t="s">
        <v>56</v>
      </c>
      <c r="E7" t="s">
        <v>57</v>
      </c>
      <c r="F7" t="s">
        <v>33</v>
      </c>
      <c r="G7">
        <v>1</v>
      </c>
      <c r="J7" t="s">
        <v>58</v>
      </c>
      <c r="K7" t="s">
        <v>59</v>
      </c>
      <c r="L7" t="s">
        <v>60</v>
      </c>
      <c r="M7" t="s">
        <v>61</v>
      </c>
    </row>
    <row r="8" spans="1:13" x14ac:dyDescent="0.25">
      <c r="A8" t="s">
        <v>62</v>
      </c>
      <c r="B8">
        <v>21198</v>
      </c>
      <c r="C8" t="s">
        <v>63</v>
      </c>
      <c r="D8" t="s">
        <v>64</v>
      </c>
      <c r="E8" t="s">
        <v>65</v>
      </c>
      <c r="F8" t="s">
        <v>17</v>
      </c>
      <c r="G8">
        <v>0</v>
      </c>
      <c r="J8" t="s">
        <v>66</v>
      </c>
      <c r="K8" t="s">
        <v>67</v>
      </c>
      <c r="L8" t="s">
        <v>68</v>
      </c>
      <c r="M8" t="s">
        <v>69</v>
      </c>
    </row>
    <row r="9" spans="1:13" x14ac:dyDescent="0.25">
      <c r="A9" t="s">
        <v>70</v>
      </c>
      <c r="B9">
        <v>14881</v>
      </c>
      <c r="C9" t="s">
        <v>71</v>
      </c>
      <c r="D9" t="s">
        <v>72</v>
      </c>
      <c r="E9" t="s">
        <v>73</v>
      </c>
      <c r="F9" t="s">
        <v>17</v>
      </c>
      <c r="G9">
        <v>0</v>
      </c>
      <c r="J9" t="s">
        <v>74</v>
      </c>
      <c r="K9" t="s">
        <v>75</v>
      </c>
      <c r="L9" t="s">
        <v>76</v>
      </c>
      <c r="M9" t="s">
        <v>77</v>
      </c>
    </row>
    <row r="10" spans="1:13" x14ac:dyDescent="0.25">
      <c r="A10" t="s">
        <v>78</v>
      </c>
      <c r="B10">
        <v>53144</v>
      </c>
      <c r="C10" t="s">
        <v>39</v>
      </c>
      <c r="D10" t="s">
        <v>79</v>
      </c>
      <c r="E10" t="s">
        <v>80</v>
      </c>
      <c r="F10" t="s">
        <v>17</v>
      </c>
      <c r="G10">
        <v>0</v>
      </c>
      <c r="J10" t="s">
        <v>81</v>
      </c>
      <c r="K10" t="s">
        <v>82</v>
      </c>
      <c r="L10" t="s">
        <v>83</v>
      </c>
      <c r="M10" t="s">
        <v>84</v>
      </c>
    </row>
    <row r="11" spans="1:13" x14ac:dyDescent="0.25">
      <c r="A11" t="s">
        <v>85</v>
      </c>
      <c r="B11">
        <v>21413</v>
      </c>
      <c r="C11" t="s">
        <v>86</v>
      </c>
      <c r="D11" t="s">
        <v>87</v>
      </c>
      <c r="E11" t="s">
        <v>88</v>
      </c>
      <c r="F11" t="s">
        <v>17</v>
      </c>
      <c r="G11">
        <v>0</v>
      </c>
      <c r="J11" t="s">
        <v>89</v>
      </c>
      <c r="K11" t="s">
        <v>90</v>
      </c>
      <c r="L11" t="s">
        <v>91</v>
      </c>
      <c r="M11" t="s">
        <v>92</v>
      </c>
    </row>
    <row r="12" spans="1:13" x14ac:dyDescent="0.25">
      <c r="A12" t="s">
        <v>93</v>
      </c>
      <c r="B12">
        <v>1499734</v>
      </c>
      <c r="C12" t="s">
        <v>94</v>
      </c>
      <c r="D12" t="s">
        <v>95</v>
      </c>
      <c r="E12" t="s">
        <v>96</v>
      </c>
      <c r="F12" t="s">
        <v>33</v>
      </c>
      <c r="G12">
        <v>1</v>
      </c>
      <c r="J12" t="s">
        <v>97</v>
      </c>
      <c r="K12" t="s">
        <v>98</v>
      </c>
      <c r="L12" t="s">
        <v>99</v>
      </c>
      <c r="M12" t="s">
        <v>100</v>
      </c>
    </row>
    <row r="13" spans="1:13" x14ac:dyDescent="0.25">
      <c r="A13" t="s">
        <v>101</v>
      </c>
      <c r="B13">
        <v>39004</v>
      </c>
      <c r="C13" t="s">
        <v>102</v>
      </c>
      <c r="D13" t="s">
        <v>103</v>
      </c>
      <c r="E13" t="s">
        <v>104</v>
      </c>
      <c r="F13" t="s">
        <v>17</v>
      </c>
      <c r="G13">
        <v>0</v>
      </c>
      <c r="J13" t="s">
        <v>105</v>
      </c>
      <c r="K13" t="s">
        <v>106</v>
      </c>
      <c r="L13" t="s">
        <v>107</v>
      </c>
      <c r="M13" t="s">
        <v>108</v>
      </c>
    </row>
    <row r="14" spans="1:13" x14ac:dyDescent="0.25">
      <c r="A14" t="s">
        <v>109</v>
      </c>
      <c r="B14">
        <v>85372</v>
      </c>
      <c r="C14" t="s">
        <v>110</v>
      </c>
      <c r="D14" t="s">
        <v>111</v>
      </c>
      <c r="E14" t="s">
        <v>112</v>
      </c>
      <c r="F14" t="s">
        <v>33</v>
      </c>
      <c r="G14">
        <v>1</v>
      </c>
      <c r="J14" t="s">
        <v>113</v>
      </c>
      <c r="K14" t="s">
        <v>114</v>
      </c>
      <c r="L14" t="s">
        <v>115</v>
      </c>
      <c r="M14" t="s">
        <v>116</v>
      </c>
    </row>
    <row r="15" spans="1:13" x14ac:dyDescent="0.25">
      <c r="A15" t="s">
        <v>117</v>
      </c>
      <c r="B15">
        <v>25715</v>
      </c>
      <c r="C15" t="s">
        <v>86</v>
      </c>
      <c r="D15" t="s">
        <v>118</v>
      </c>
      <c r="E15" t="s">
        <v>119</v>
      </c>
      <c r="F15" t="s">
        <v>17</v>
      </c>
      <c r="G15">
        <v>0</v>
      </c>
      <c r="J15" t="s">
        <v>120</v>
      </c>
      <c r="K15" t="s">
        <v>121</v>
      </c>
      <c r="L15" t="s">
        <v>122</v>
      </c>
      <c r="M15" t="s">
        <v>123</v>
      </c>
    </row>
    <row r="16" spans="1:13" x14ac:dyDescent="0.25">
      <c r="A16" t="s">
        <v>124</v>
      </c>
      <c r="B16">
        <v>15779</v>
      </c>
      <c r="C16" t="s">
        <v>125</v>
      </c>
      <c r="D16" t="s">
        <v>126</v>
      </c>
      <c r="E16" t="s">
        <v>127</v>
      </c>
      <c r="F16" t="s">
        <v>17</v>
      </c>
      <c r="G16">
        <v>0</v>
      </c>
      <c r="J16" t="s">
        <v>128</v>
      </c>
      <c r="K16" t="s">
        <v>129</v>
      </c>
      <c r="L16" t="s">
        <v>130</v>
      </c>
      <c r="M16" t="s">
        <v>131</v>
      </c>
    </row>
    <row r="17" spans="1:13" x14ac:dyDescent="0.25">
      <c r="A17" t="s">
        <v>132</v>
      </c>
      <c r="B17">
        <v>22726</v>
      </c>
      <c r="C17" t="s">
        <v>102</v>
      </c>
      <c r="D17" t="s">
        <v>133</v>
      </c>
      <c r="E17" t="s">
        <v>134</v>
      </c>
      <c r="F17" t="s">
        <v>17</v>
      </c>
      <c r="G17">
        <v>0</v>
      </c>
      <c r="J17" t="s">
        <v>135</v>
      </c>
      <c r="K17" t="s">
        <v>136</v>
      </c>
      <c r="L17" t="s">
        <v>137</v>
      </c>
      <c r="M17" t="s">
        <v>138</v>
      </c>
    </row>
    <row r="18" spans="1:13" x14ac:dyDescent="0.25">
      <c r="A18" t="s">
        <v>139</v>
      </c>
      <c r="B18">
        <v>86853</v>
      </c>
      <c r="C18" t="s">
        <v>47</v>
      </c>
      <c r="D18" t="s">
        <v>140</v>
      </c>
      <c r="E18" t="s">
        <v>141</v>
      </c>
      <c r="F18" t="s">
        <v>17</v>
      </c>
      <c r="G18">
        <v>0</v>
      </c>
      <c r="J18" t="s">
        <v>142</v>
      </c>
      <c r="K18" t="s">
        <v>143</v>
      </c>
      <c r="L18" t="s">
        <v>144</v>
      </c>
      <c r="M18" t="s">
        <v>145</v>
      </c>
    </row>
    <row r="19" spans="1:13" x14ac:dyDescent="0.25">
      <c r="A19" t="s">
        <v>146</v>
      </c>
      <c r="B19">
        <v>53359</v>
      </c>
      <c r="C19" t="s">
        <v>71</v>
      </c>
      <c r="D19" t="s">
        <v>147</v>
      </c>
      <c r="E19" t="s">
        <v>148</v>
      </c>
      <c r="F19" t="s">
        <v>17</v>
      </c>
      <c r="G19">
        <v>0</v>
      </c>
      <c r="J19" t="s">
        <v>149</v>
      </c>
      <c r="K19" t="s">
        <v>150</v>
      </c>
      <c r="L19" t="s">
        <v>151</v>
      </c>
      <c r="M19" t="s">
        <v>152</v>
      </c>
    </row>
    <row r="20" spans="1:13" x14ac:dyDescent="0.25">
      <c r="A20" t="s">
        <v>153</v>
      </c>
      <c r="B20">
        <v>11067</v>
      </c>
      <c r="C20" t="s">
        <v>47</v>
      </c>
      <c r="D20" t="s">
        <v>154</v>
      </c>
      <c r="E20" t="s">
        <v>155</v>
      </c>
      <c r="F20" t="s">
        <v>17</v>
      </c>
      <c r="G20">
        <v>0</v>
      </c>
      <c r="J20" t="s">
        <v>156</v>
      </c>
      <c r="K20" t="s">
        <v>157</v>
      </c>
      <c r="L20" t="s">
        <v>158</v>
      </c>
      <c r="M20" t="s">
        <v>159</v>
      </c>
    </row>
    <row r="21" spans="1:13" x14ac:dyDescent="0.25">
      <c r="A21" t="s">
        <v>160</v>
      </c>
      <c r="B21">
        <v>65681</v>
      </c>
      <c r="C21" t="s">
        <v>94</v>
      </c>
      <c r="D21" t="s">
        <v>161</v>
      </c>
      <c r="E21" t="s">
        <v>162</v>
      </c>
      <c r="F21" t="s">
        <v>17</v>
      </c>
      <c r="G21">
        <v>0</v>
      </c>
      <c r="J21" t="s">
        <v>163</v>
      </c>
      <c r="K21" t="s">
        <v>164</v>
      </c>
      <c r="L21" t="s">
        <v>165</v>
      </c>
      <c r="M21" t="s">
        <v>166</v>
      </c>
    </row>
    <row r="22" spans="1:13" x14ac:dyDescent="0.25">
      <c r="A22" t="s">
        <v>167</v>
      </c>
      <c r="B22">
        <v>45874</v>
      </c>
      <c r="C22" t="s">
        <v>168</v>
      </c>
      <c r="D22" t="s">
        <v>169</v>
      </c>
      <c r="E22" t="s">
        <v>170</v>
      </c>
      <c r="F22" t="s">
        <v>33</v>
      </c>
      <c r="G22">
        <v>1</v>
      </c>
      <c r="J22" t="s">
        <v>171</v>
      </c>
      <c r="K22" t="s">
        <v>172</v>
      </c>
      <c r="L22" t="s">
        <v>173</v>
      </c>
      <c r="M22" t="s">
        <v>174</v>
      </c>
    </row>
    <row r="23" spans="1:13" x14ac:dyDescent="0.25">
      <c r="A23" t="s">
        <v>175</v>
      </c>
      <c r="B23">
        <v>160548</v>
      </c>
      <c r="C23" t="s">
        <v>176</v>
      </c>
      <c r="D23" t="s">
        <v>177</v>
      </c>
      <c r="E23" t="s">
        <v>178</v>
      </c>
      <c r="F23" t="s">
        <v>33</v>
      </c>
      <c r="G23">
        <v>1</v>
      </c>
      <c r="J23" t="s">
        <v>179</v>
      </c>
      <c r="K23" t="s">
        <v>180</v>
      </c>
      <c r="L23" t="s">
        <v>181</v>
      </c>
      <c r="M23" t="s">
        <v>182</v>
      </c>
    </row>
    <row r="24" spans="1:13" x14ac:dyDescent="0.25">
      <c r="A24" t="s">
        <v>183</v>
      </c>
      <c r="B24">
        <v>31153</v>
      </c>
      <c r="C24" t="s">
        <v>94</v>
      </c>
      <c r="D24" t="s">
        <v>184</v>
      </c>
      <c r="E24" t="s">
        <v>41</v>
      </c>
      <c r="F24" t="s">
        <v>17</v>
      </c>
      <c r="G24">
        <v>0</v>
      </c>
      <c r="J24" t="s">
        <v>185</v>
      </c>
      <c r="K24" t="s">
        <v>186</v>
      </c>
      <c r="L24" t="s">
        <v>187</v>
      </c>
      <c r="M24" t="s">
        <v>188</v>
      </c>
    </row>
    <row r="25" spans="1:13" x14ac:dyDescent="0.25">
      <c r="A25" t="s">
        <v>189</v>
      </c>
      <c r="B25">
        <v>28025</v>
      </c>
      <c r="C25" t="s">
        <v>125</v>
      </c>
      <c r="D25" t="s">
        <v>190</v>
      </c>
      <c r="E25" t="s">
        <v>191</v>
      </c>
      <c r="F25" t="s">
        <v>17</v>
      </c>
      <c r="G25">
        <v>0</v>
      </c>
      <c r="J25" t="s">
        <v>192</v>
      </c>
      <c r="K25" t="s">
        <v>193</v>
      </c>
      <c r="L25" t="s">
        <v>194</v>
      </c>
      <c r="M25" t="s">
        <v>195</v>
      </c>
    </row>
    <row r="26" spans="1:13" x14ac:dyDescent="0.25">
      <c r="A26" t="s">
        <v>196</v>
      </c>
      <c r="B26">
        <v>27338</v>
      </c>
      <c r="C26" t="s">
        <v>197</v>
      </c>
      <c r="D26" t="s">
        <v>198</v>
      </c>
      <c r="E26" t="s">
        <v>199</v>
      </c>
      <c r="F26" t="s">
        <v>33</v>
      </c>
      <c r="G26">
        <v>1</v>
      </c>
      <c r="J26" t="s">
        <v>200</v>
      </c>
      <c r="K26" t="s">
        <v>201</v>
      </c>
      <c r="L26" t="s">
        <v>202</v>
      </c>
      <c r="M26" t="s">
        <v>203</v>
      </c>
    </row>
    <row r="27" spans="1:13" x14ac:dyDescent="0.25">
      <c r="A27" t="s">
        <v>204</v>
      </c>
      <c r="B27">
        <v>26451</v>
      </c>
      <c r="C27" t="s">
        <v>30</v>
      </c>
      <c r="D27" t="s">
        <v>205</v>
      </c>
      <c r="E27" t="s">
        <v>206</v>
      </c>
      <c r="F27" t="s">
        <v>17</v>
      </c>
      <c r="G27">
        <v>0</v>
      </c>
      <c r="J27" t="s">
        <v>207</v>
      </c>
      <c r="K27" t="s">
        <v>208</v>
      </c>
      <c r="L27" t="s">
        <v>209</v>
      </c>
      <c r="M27" t="s">
        <v>210</v>
      </c>
    </row>
    <row r="28" spans="1:13" x14ac:dyDescent="0.25">
      <c r="A28" t="s">
        <v>211</v>
      </c>
      <c r="B28">
        <v>12796</v>
      </c>
      <c r="C28" t="s">
        <v>212</v>
      </c>
      <c r="D28" t="s">
        <v>213</v>
      </c>
      <c r="E28" t="s">
        <v>214</v>
      </c>
      <c r="F28" t="s">
        <v>17</v>
      </c>
      <c r="G28">
        <v>0</v>
      </c>
      <c r="J28" t="s">
        <v>215</v>
      </c>
      <c r="K28" t="s">
        <v>216</v>
      </c>
      <c r="L28" t="s">
        <v>217</v>
      </c>
      <c r="M28" t="s">
        <v>218</v>
      </c>
    </row>
    <row r="29" spans="1:13" x14ac:dyDescent="0.25">
      <c r="A29" t="s">
        <v>219</v>
      </c>
      <c r="B29">
        <v>71590</v>
      </c>
      <c r="C29" t="s">
        <v>86</v>
      </c>
      <c r="D29" t="s">
        <v>220</v>
      </c>
      <c r="E29" t="s">
        <v>221</v>
      </c>
      <c r="F29" t="s">
        <v>33</v>
      </c>
      <c r="G29">
        <v>1</v>
      </c>
      <c r="J29" t="s">
        <v>222</v>
      </c>
      <c r="K29" t="s">
        <v>223</v>
      </c>
      <c r="L29" t="s">
        <v>224</v>
      </c>
      <c r="M29" t="s">
        <v>225</v>
      </c>
    </row>
    <row r="30" spans="1:13" x14ac:dyDescent="0.25">
      <c r="A30" t="s">
        <v>226</v>
      </c>
      <c r="B30">
        <v>33995</v>
      </c>
      <c r="C30" t="s">
        <v>102</v>
      </c>
      <c r="D30" t="s">
        <v>227</v>
      </c>
      <c r="E30" t="s">
        <v>228</v>
      </c>
      <c r="F30" t="s">
        <v>17</v>
      </c>
      <c r="G30">
        <v>0</v>
      </c>
      <c r="J30" t="s">
        <v>229</v>
      </c>
      <c r="K30" t="s">
        <v>230</v>
      </c>
      <c r="L30" t="s">
        <v>231</v>
      </c>
      <c r="M30" t="s">
        <v>232</v>
      </c>
    </row>
    <row r="31" spans="1:13" x14ac:dyDescent="0.25">
      <c r="A31" t="s">
        <v>233</v>
      </c>
      <c r="B31">
        <v>697910</v>
      </c>
      <c r="C31" t="s">
        <v>22</v>
      </c>
      <c r="D31" t="s">
        <v>234</v>
      </c>
      <c r="E31" t="s">
        <v>235</v>
      </c>
      <c r="F31" t="s">
        <v>33</v>
      </c>
      <c r="G31">
        <v>1</v>
      </c>
      <c r="J31" t="s">
        <v>236</v>
      </c>
      <c r="K31" t="s">
        <v>237</v>
      </c>
      <c r="L31" t="s">
        <v>238</v>
      </c>
      <c r="M31" t="s">
        <v>239</v>
      </c>
    </row>
    <row r="32" spans="1:13" x14ac:dyDescent="0.25">
      <c r="A32" t="s">
        <v>240</v>
      </c>
      <c r="B32">
        <v>44292</v>
      </c>
      <c r="C32" t="s">
        <v>212</v>
      </c>
      <c r="D32" t="s">
        <v>241</v>
      </c>
      <c r="E32" t="s">
        <v>242</v>
      </c>
      <c r="F32" t="s">
        <v>17</v>
      </c>
      <c r="G32">
        <v>0</v>
      </c>
      <c r="J32" t="s">
        <v>243</v>
      </c>
      <c r="K32" t="s">
        <v>244</v>
      </c>
      <c r="L32" t="s">
        <v>245</v>
      </c>
      <c r="M32" t="s">
        <v>246</v>
      </c>
    </row>
    <row r="33" spans="1:13" x14ac:dyDescent="0.25">
      <c r="A33" t="s">
        <v>247</v>
      </c>
      <c r="B33">
        <v>30090</v>
      </c>
      <c r="C33" t="s">
        <v>63</v>
      </c>
      <c r="D33" t="s">
        <v>248</v>
      </c>
      <c r="E33" t="s">
        <v>249</v>
      </c>
      <c r="F33" t="s">
        <v>33</v>
      </c>
      <c r="G33">
        <v>1</v>
      </c>
      <c r="J33" t="s">
        <v>250</v>
      </c>
      <c r="K33" t="s">
        <v>251</v>
      </c>
      <c r="L33" t="s">
        <v>252</v>
      </c>
      <c r="M33" t="s">
        <v>253</v>
      </c>
    </row>
    <row r="34" spans="1:13" x14ac:dyDescent="0.25">
      <c r="A34" t="s">
        <v>254</v>
      </c>
      <c r="B34">
        <v>57058</v>
      </c>
      <c r="C34" t="s">
        <v>255</v>
      </c>
      <c r="D34" t="s">
        <v>256</v>
      </c>
      <c r="E34" t="s">
        <v>257</v>
      </c>
      <c r="F34" t="s">
        <v>33</v>
      </c>
      <c r="G34">
        <v>1</v>
      </c>
      <c r="J34" t="s">
        <v>258</v>
      </c>
      <c r="K34" t="s">
        <v>259</v>
      </c>
      <c r="L34" t="s">
        <v>260</v>
      </c>
      <c r="M34" t="s">
        <v>261</v>
      </c>
    </row>
    <row r="35" spans="1:13" x14ac:dyDescent="0.25">
      <c r="A35" t="s">
        <v>262</v>
      </c>
      <c r="B35">
        <v>571948</v>
      </c>
      <c r="C35" t="s">
        <v>94</v>
      </c>
      <c r="D35" t="s">
        <v>263</v>
      </c>
      <c r="E35" t="s">
        <v>264</v>
      </c>
      <c r="F35" t="s">
        <v>17</v>
      </c>
      <c r="G35">
        <v>0</v>
      </c>
      <c r="J35" t="s">
        <v>265</v>
      </c>
      <c r="K35" t="s">
        <v>266</v>
      </c>
      <c r="L35" t="s">
        <v>267</v>
      </c>
      <c r="M35" t="s">
        <v>268</v>
      </c>
    </row>
    <row r="36" spans="1:13" x14ac:dyDescent="0.25">
      <c r="A36" t="s">
        <v>269</v>
      </c>
      <c r="B36">
        <v>37368</v>
      </c>
      <c r="C36" t="s">
        <v>270</v>
      </c>
      <c r="D36" t="s">
        <v>271</v>
      </c>
      <c r="E36" t="s">
        <v>272</v>
      </c>
      <c r="F36" t="s">
        <v>17</v>
      </c>
      <c r="G36">
        <v>0</v>
      </c>
      <c r="J36" t="s">
        <v>273</v>
      </c>
      <c r="K36" t="s">
        <v>274</v>
      </c>
      <c r="L36" t="s">
        <v>275</v>
      </c>
      <c r="M36" t="s">
        <v>276</v>
      </c>
    </row>
    <row r="37" spans="1:13" x14ac:dyDescent="0.25">
      <c r="A37" t="s">
        <v>277</v>
      </c>
      <c r="B37">
        <v>28317</v>
      </c>
      <c r="C37" t="s">
        <v>14</v>
      </c>
      <c r="D37" t="s">
        <v>278</v>
      </c>
      <c r="E37" t="s">
        <v>279</v>
      </c>
      <c r="F37" t="s">
        <v>33</v>
      </c>
      <c r="G37">
        <v>1</v>
      </c>
      <c r="J37" t="s">
        <v>280</v>
      </c>
      <c r="K37" t="s">
        <v>281</v>
      </c>
      <c r="L37" t="s">
        <v>282</v>
      </c>
      <c r="M37" t="s">
        <v>283</v>
      </c>
    </row>
    <row r="38" spans="1:13" x14ac:dyDescent="0.25">
      <c r="A38" t="s">
        <v>284</v>
      </c>
      <c r="B38">
        <v>19497</v>
      </c>
      <c r="C38" t="s">
        <v>71</v>
      </c>
      <c r="D38" t="s">
        <v>285</v>
      </c>
      <c r="E38" t="s">
        <v>286</v>
      </c>
      <c r="F38" t="s">
        <v>17</v>
      </c>
      <c r="G38">
        <v>0</v>
      </c>
      <c r="J38" t="s">
        <v>287</v>
      </c>
      <c r="K38" t="s">
        <v>288</v>
      </c>
      <c r="L38" t="s">
        <v>289</v>
      </c>
      <c r="M38" t="s">
        <v>290</v>
      </c>
    </row>
    <row r="39" spans="1:13" x14ac:dyDescent="0.25">
      <c r="A39" t="s">
        <v>291</v>
      </c>
      <c r="B39">
        <v>54221</v>
      </c>
      <c r="C39" t="s">
        <v>30</v>
      </c>
      <c r="D39" t="s">
        <v>292</v>
      </c>
      <c r="E39" t="s">
        <v>41</v>
      </c>
      <c r="F39" t="s">
        <v>17</v>
      </c>
      <c r="G39">
        <v>0</v>
      </c>
      <c r="J39" t="s">
        <v>293</v>
      </c>
      <c r="K39" t="s">
        <v>294</v>
      </c>
      <c r="L39" t="s">
        <v>295</v>
      </c>
      <c r="M39" t="s">
        <v>296</v>
      </c>
    </row>
    <row r="40" spans="1:13" x14ac:dyDescent="0.25">
      <c r="A40" t="s">
        <v>297</v>
      </c>
      <c r="B40">
        <v>23551</v>
      </c>
      <c r="C40" t="s">
        <v>102</v>
      </c>
      <c r="D40" t="s">
        <v>298</v>
      </c>
      <c r="E40" t="s">
        <v>299</v>
      </c>
      <c r="F40" t="s">
        <v>17</v>
      </c>
      <c r="G40">
        <v>0</v>
      </c>
      <c r="J40" t="s">
        <v>300</v>
      </c>
      <c r="K40" t="s">
        <v>301</v>
      </c>
      <c r="L40" t="s">
        <v>302</v>
      </c>
      <c r="M40" t="s">
        <v>303</v>
      </c>
    </row>
    <row r="41" spans="1:13" x14ac:dyDescent="0.25">
      <c r="A41" t="s">
        <v>304</v>
      </c>
      <c r="B41">
        <v>40604</v>
      </c>
      <c r="C41" t="s">
        <v>55</v>
      </c>
      <c r="D41" t="s">
        <v>305</v>
      </c>
      <c r="E41" t="s">
        <v>306</v>
      </c>
      <c r="F41" t="s">
        <v>17</v>
      </c>
      <c r="G41">
        <v>0</v>
      </c>
      <c r="J41" t="s">
        <v>307</v>
      </c>
      <c r="K41" t="s">
        <v>308</v>
      </c>
      <c r="L41" t="s">
        <v>309</v>
      </c>
      <c r="M41" t="s">
        <v>310</v>
      </c>
    </row>
    <row r="42" spans="1:13" x14ac:dyDescent="0.25">
      <c r="A42" t="s">
        <v>311</v>
      </c>
      <c r="B42">
        <v>10693</v>
      </c>
      <c r="C42" t="s">
        <v>102</v>
      </c>
      <c r="D42" t="s">
        <v>312</v>
      </c>
      <c r="E42" t="s">
        <v>313</v>
      </c>
      <c r="F42" t="s">
        <v>17</v>
      </c>
      <c r="G42">
        <v>0</v>
      </c>
      <c r="J42" t="s">
        <v>314</v>
      </c>
      <c r="K42" t="s">
        <v>315</v>
      </c>
      <c r="L42" t="s">
        <v>316</v>
      </c>
      <c r="M42" t="s">
        <v>317</v>
      </c>
    </row>
    <row r="43" spans="1:13" x14ac:dyDescent="0.25">
      <c r="A43" t="s">
        <v>318</v>
      </c>
      <c r="B43">
        <v>35703</v>
      </c>
      <c r="C43" t="s">
        <v>319</v>
      </c>
      <c r="D43" t="s">
        <v>320</v>
      </c>
      <c r="E43" t="s">
        <v>321</v>
      </c>
      <c r="F43" t="s">
        <v>33</v>
      </c>
      <c r="G43">
        <v>1</v>
      </c>
      <c r="J43" t="s">
        <v>322</v>
      </c>
      <c r="K43" t="s">
        <v>323</v>
      </c>
      <c r="L43" t="s">
        <v>324</v>
      </c>
      <c r="M43" t="s">
        <v>325</v>
      </c>
    </row>
    <row r="44" spans="1:13" x14ac:dyDescent="0.25">
      <c r="A44" t="s">
        <v>326</v>
      </c>
      <c r="B44">
        <v>56893</v>
      </c>
      <c r="C44" t="s">
        <v>176</v>
      </c>
      <c r="D44" t="s">
        <v>327</v>
      </c>
      <c r="E44" t="s">
        <v>313</v>
      </c>
      <c r="F44" t="s">
        <v>17</v>
      </c>
      <c r="G44">
        <v>0</v>
      </c>
      <c r="J44" t="s">
        <v>328</v>
      </c>
      <c r="K44" t="s">
        <v>329</v>
      </c>
      <c r="L44" t="s">
        <v>330</v>
      </c>
      <c r="M44" t="s">
        <v>331</v>
      </c>
    </row>
    <row r="45" spans="1:13" x14ac:dyDescent="0.25">
      <c r="A45" t="s">
        <v>332</v>
      </c>
      <c r="B45">
        <v>616902</v>
      </c>
      <c r="C45" t="s">
        <v>94</v>
      </c>
      <c r="D45" t="s">
        <v>333</v>
      </c>
      <c r="E45" t="s">
        <v>334</v>
      </c>
      <c r="F45" t="s">
        <v>17</v>
      </c>
      <c r="G45">
        <v>0</v>
      </c>
      <c r="J45" t="s">
        <v>335</v>
      </c>
      <c r="K45" t="s">
        <v>336</v>
      </c>
      <c r="L45" t="s">
        <v>337</v>
      </c>
      <c r="M45" t="s">
        <v>338</v>
      </c>
    </row>
    <row r="46" spans="1:13" x14ac:dyDescent="0.25">
      <c r="A46" t="s">
        <v>339</v>
      </c>
      <c r="B46">
        <v>34099</v>
      </c>
      <c r="C46" t="s">
        <v>94</v>
      </c>
      <c r="D46" t="s">
        <v>340</v>
      </c>
      <c r="E46" t="s">
        <v>341</v>
      </c>
      <c r="F46" t="s">
        <v>17</v>
      </c>
      <c r="G46">
        <v>0</v>
      </c>
      <c r="J46" t="s">
        <v>342</v>
      </c>
      <c r="K46" t="s">
        <v>343</v>
      </c>
      <c r="L46" t="s">
        <v>344</v>
      </c>
      <c r="M46" t="s">
        <v>345</v>
      </c>
    </row>
    <row r="47" spans="1:13" x14ac:dyDescent="0.25">
      <c r="A47" t="s">
        <v>346</v>
      </c>
      <c r="B47">
        <v>13127</v>
      </c>
      <c r="C47" t="s">
        <v>347</v>
      </c>
      <c r="D47" t="s">
        <v>348</v>
      </c>
      <c r="E47" t="s">
        <v>349</v>
      </c>
      <c r="F47" t="s">
        <v>17</v>
      </c>
      <c r="G47">
        <v>0</v>
      </c>
      <c r="J47" t="s">
        <v>350</v>
      </c>
      <c r="K47" t="s">
        <v>351</v>
      </c>
      <c r="L47" t="s">
        <v>352</v>
      </c>
      <c r="M47" t="s">
        <v>353</v>
      </c>
    </row>
    <row r="48" spans="1:13" x14ac:dyDescent="0.25">
      <c r="A48" t="s">
        <v>354</v>
      </c>
      <c r="B48">
        <v>74941</v>
      </c>
      <c r="C48" t="s">
        <v>355</v>
      </c>
      <c r="D48" t="s">
        <v>356</v>
      </c>
      <c r="E48" t="s">
        <v>357</v>
      </c>
      <c r="F48" t="s">
        <v>33</v>
      </c>
      <c r="G48">
        <v>1</v>
      </c>
      <c r="J48" t="s">
        <v>358</v>
      </c>
      <c r="K48" t="s">
        <v>359</v>
      </c>
      <c r="L48" t="s">
        <v>360</v>
      </c>
      <c r="M48" t="s">
        <v>361</v>
      </c>
    </row>
    <row r="49" spans="1:13" x14ac:dyDescent="0.25">
      <c r="A49" t="s">
        <v>362</v>
      </c>
      <c r="B49">
        <v>18782</v>
      </c>
      <c r="C49" t="s">
        <v>197</v>
      </c>
      <c r="D49" t="s">
        <v>363</v>
      </c>
      <c r="E49" t="s">
        <v>364</v>
      </c>
      <c r="F49" t="s">
        <v>17</v>
      </c>
      <c r="G49">
        <v>0</v>
      </c>
      <c r="J49" t="s">
        <v>365</v>
      </c>
      <c r="K49" t="s">
        <v>366</v>
      </c>
    </row>
    <row r="50" spans="1:13" x14ac:dyDescent="0.25">
      <c r="A50" t="s">
        <v>367</v>
      </c>
      <c r="B50">
        <v>70364</v>
      </c>
      <c r="C50" t="s">
        <v>355</v>
      </c>
      <c r="D50" t="s">
        <v>368</v>
      </c>
      <c r="E50" t="s">
        <v>16</v>
      </c>
      <c r="F50" t="s">
        <v>17</v>
      </c>
      <c r="G50">
        <v>0</v>
      </c>
      <c r="J50" t="s">
        <v>369</v>
      </c>
      <c r="K50" t="s">
        <v>370</v>
      </c>
      <c r="L50" t="s">
        <v>371</v>
      </c>
      <c r="M50" t="s">
        <v>372</v>
      </c>
    </row>
    <row r="51" spans="1:13" x14ac:dyDescent="0.25">
      <c r="A51" t="s">
        <v>373</v>
      </c>
      <c r="B51">
        <v>89753</v>
      </c>
      <c r="C51" t="s">
        <v>212</v>
      </c>
      <c r="D51" t="s">
        <v>374</v>
      </c>
      <c r="E51" t="s">
        <v>375</v>
      </c>
      <c r="F51" t="s">
        <v>33</v>
      </c>
      <c r="G51">
        <v>1</v>
      </c>
      <c r="J51" t="s">
        <v>376</v>
      </c>
      <c r="K51" t="s">
        <v>377</v>
      </c>
      <c r="L51" t="s">
        <v>378</v>
      </c>
      <c r="M51" t="s">
        <v>379</v>
      </c>
    </row>
    <row r="52" spans="1:13" x14ac:dyDescent="0.25">
      <c r="A52" t="s">
        <v>380</v>
      </c>
      <c r="B52">
        <v>85504</v>
      </c>
      <c r="C52" t="s">
        <v>110</v>
      </c>
      <c r="D52" t="s">
        <v>381</v>
      </c>
      <c r="E52" t="s">
        <v>382</v>
      </c>
      <c r="F52" t="s">
        <v>17</v>
      </c>
      <c r="G52">
        <v>0</v>
      </c>
      <c r="J52" t="s">
        <v>383</v>
      </c>
      <c r="K52" t="s">
        <v>384</v>
      </c>
      <c r="L52" t="s">
        <v>385</v>
      </c>
      <c r="M52" t="s">
        <v>386</v>
      </c>
    </row>
    <row r="53" spans="1:13" x14ac:dyDescent="0.25">
      <c r="A53" t="s">
        <v>387</v>
      </c>
      <c r="B53">
        <v>118239</v>
      </c>
      <c r="C53" t="s">
        <v>388</v>
      </c>
      <c r="D53" t="s">
        <v>389</v>
      </c>
      <c r="E53" t="s">
        <v>390</v>
      </c>
      <c r="F53" t="s">
        <v>33</v>
      </c>
      <c r="G53">
        <v>1</v>
      </c>
      <c r="J53" t="s">
        <v>391</v>
      </c>
      <c r="K53" t="s">
        <v>392</v>
      </c>
      <c r="L53" t="s">
        <v>393</v>
      </c>
      <c r="M53" t="s">
        <v>394</v>
      </c>
    </row>
    <row r="54" spans="1:13" x14ac:dyDescent="0.25">
      <c r="A54" t="s">
        <v>395</v>
      </c>
      <c r="B54">
        <v>11051</v>
      </c>
      <c r="C54" t="s">
        <v>355</v>
      </c>
      <c r="D54" t="s">
        <v>396</v>
      </c>
      <c r="E54" t="s">
        <v>397</v>
      </c>
      <c r="F54" t="s">
        <v>17</v>
      </c>
      <c r="G54">
        <v>0</v>
      </c>
      <c r="J54" t="s">
        <v>398</v>
      </c>
      <c r="K54" t="s">
        <v>399</v>
      </c>
      <c r="L54" t="s">
        <v>400</v>
      </c>
      <c r="M54" t="s">
        <v>401</v>
      </c>
    </row>
    <row r="55" spans="1:13" x14ac:dyDescent="0.25">
      <c r="A55" t="s">
        <v>402</v>
      </c>
      <c r="B55">
        <v>26833</v>
      </c>
      <c r="C55" t="s">
        <v>63</v>
      </c>
      <c r="D55" t="s">
        <v>403</v>
      </c>
      <c r="E55" t="s">
        <v>404</v>
      </c>
      <c r="F55" t="s">
        <v>17</v>
      </c>
      <c r="G55">
        <v>0</v>
      </c>
      <c r="J55" t="s">
        <v>405</v>
      </c>
      <c r="K55" t="s">
        <v>406</v>
      </c>
      <c r="M55" t="s">
        <v>407</v>
      </c>
    </row>
    <row r="56" spans="1:13" x14ac:dyDescent="0.25">
      <c r="A56" t="s">
        <v>408</v>
      </c>
      <c r="B56">
        <v>54352</v>
      </c>
      <c r="C56" t="s">
        <v>347</v>
      </c>
      <c r="D56" t="s">
        <v>409</v>
      </c>
      <c r="E56" t="s">
        <v>410</v>
      </c>
      <c r="F56" t="s">
        <v>33</v>
      </c>
      <c r="G56">
        <v>1</v>
      </c>
      <c r="J56" t="s">
        <v>411</v>
      </c>
      <c r="K56" t="s">
        <v>412</v>
      </c>
      <c r="L56" t="s">
        <v>413</v>
      </c>
      <c r="M56" t="s">
        <v>414</v>
      </c>
    </row>
    <row r="57" spans="1:13" x14ac:dyDescent="0.25">
      <c r="A57" t="s">
        <v>415</v>
      </c>
      <c r="B57">
        <v>23662</v>
      </c>
      <c r="C57" t="s">
        <v>176</v>
      </c>
      <c r="D57" t="s">
        <v>416</v>
      </c>
      <c r="E57" t="s">
        <v>155</v>
      </c>
      <c r="F57" t="s">
        <v>17</v>
      </c>
      <c r="G57">
        <v>0</v>
      </c>
      <c r="J57" t="s">
        <v>417</v>
      </c>
      <c r="K57" t="s">
        <v>418</v>
      </c>
      <c r="L57" t="s">
        <v>419</v>
      </c>
      <c r="M57" t="s">
        <v>420</v>
      </c>
    </row>
    <row r="58" spans="1:13" x14ac:dyDescent="0.25">
      <c r="A58" t="s">
        <v>421</v>
      </c>
      <c r="B58">
        <v>72593</v>
      </c>
      <c r="C58" t="s">
        <v>125</v>
      </c>
      <c r="D58" t="s">
        <v>422</v>
      </c>
      <c r="E58" t="s">
        <v>423</v>
      </c>
      <c r="F58" t="s">
        <v>33</v>
      </c>
      <c r="G58">
        <v>1</v>
      </c>
      <c r="J58" t="s">
        <v>424</v>
      </c>
      <c r="K58" t="s">
        <v>425</v>
      </c>
      <c r="L58" t="s">
        <v>426</v>
      </c>
      <c r="M58" t="s">
        <v>427</v>
      </c>
    </row>
    <row r="59" spans="1:13" x14ac:dyDescent="0.25">
      <c r="A59" t="s">
        <v>428</v>
      </c>
      <c r="B59">
        <v>63046</v>
      </c>
      <c r="C59" t="s">
        <v>55</v>
      </c>
      <c r="D59" t="s">
        <v>429</v>
      </c>
      <c r="E59" t="s">
        <v>430</v>
      </c>
      <c r="F59" t="s">
        <v>17</v>
      </c>
      <c r="G59">
        <v>0</v>
      </c>
      <c r="J59" t="s">
        <v>431</v>
      </c>
      <c r="K59" t="s">
        <v>432</v>
      </c>
      <c r="L59" t="s">
        <v>433</v>
      </c>
      <c r="M59" t="s">
        <v>434</v>
      </c>
    </row>
    <row r="60" spans="1:13" x14ac:dyDescent="0.25">
      <c r="A60" t="s">
        <v>435</v>
      </c>
      <c r="B60">
        <v>36917</v>
      </c>
      <c r="C60" t="s">
        <v>436</v>
      </c>
      <c r="D60" t="s">
        <v>437</v>
      </c>
      <c r="E60" t="s">
        <v>438</v>
      </c>
      <c r="F60" t="s">
        <v>33</v>
      </c>
      <c r="G60">
        <v>1</v>
      </c>
      <c r="J60" t="s">
        <v>439</v>
      </c>
      <c r="K60" t="s">
        <v>440</v>
      </c>
      <c r="L60" t="s">
        <v>441</v>
      </c>
      <c r="M60" t="s">
        <v>442</v>
      </c>
    </row>
    <row r="61" spans="1:13" x14ac:dyDescent="0.25">
      <c r="A61" t="s">
        <v>443</v>
      </c>
      <c r="B61">
        <v>95883</v>
      </c>
      <c r="C61" t="s">
        <v>22</v>
      </c>
      <c r="D61" t="s">
        <v>444</v>
      </c>
      <c r="E61" t="s">
        <v>155</v>
      </c>
      <c r="F61" t="s">
        <v>17</v>
      </c>
      <c r="G61">
        <v>0</v>
      </c>
      <c r="J61" t="s">
        <v>445</v>
      </c>
      <c r="K61" t="s">
        <v>446</v>
      </c>
      <c r="L61" t="s">
        <v>447</v>
      </c>
      <c r="M61" t="s">
        <v>448</v>
      </c>
    </row>
    <row r="62" spans="1:13" x14ac:dyDescent="0.25">
      <c r="A62" t="s">
        <v>449</v>
      </c>
      <c r="B62">
        <v>62960</v>
      </c>
      <c r="C62" t="s">
        <v>71</v>
      </c>
      <c r="D62" t="s">
        <v>450</v>
      </c>
      <c r="E62" t="s">
        <v>451</v>
      </c>
      <c r="F62" t="s">
        <v>33</v>
      </c>
      <c r="G62">
        <v>1</v>
      </c>
      <c r="J62" t="s">
        <v>452</v>
      </c>
      <c r="K62" t="s">
        <v>453</v>
      </c>
      <c r="L62" t="s">
        <v>454</v>
      </c>
      <c r="M62" t="s">
        <v>455</v>
      </c>
    </row>
    <row r="63" spans="1:13" x14ac:dyDescent="0.25">
      <c r="A63" t="s">
        <v>456</v>
      </c>
      <c r="B63">
        <v>115657</v>
      </c>
      <c r="C63" t="s">
        <v>457</v>
      </c>
      <c r="D63" t="s">
        <v>458</v>
      </c>
      <c r="E63" t="s">
        <v>459</v>
      </c>
      <c r="F63" t="s">
        <v>33</v>
      </c>
      <c r="G63">
        <v>1</v>
      </c>
      <c r="J63" t="s">
        <v>460</v>
      </c>
      <c r="K63" t="s">
        <v>461</v>
      </c>
      <c r="L63" t="s">
        <v>462</v>
      </c>
      <c r="M63" t="s">
        <v>463</v>
      </c>
    </row>
    <row r="64" spans="1:13" x14ac:dyDescent="0.25">
      <c r="A64" t="s">
        <v>464</v>
      </c>
      <c r="B64">
        <v>17471</v>
      </c>
      <c r="C64" t="s">
        <v>270</v>
      </c>
      <c r="D64" t="s">
        <v>465</v>
      </c>
      <c r="E64" t="s">
        <v>466</v>
      </c>
      <c r="F64" t="s">
        <v>17</v>
      </c>
      <c r="G64">
        <v>0</v>
      </c>
      <c r="J64" t="s">
        <v>467</v>
      </c>
      <c r="K64" t="s">
        <v>468</v>
      </c>
      <c r="L64" t="s">
        <v>469</v>
      </c>
      <c r="M64" t="s">
        <v>470</v>
      </c>
    </row>
    <row r="65" spans="1:13" x14ac:dyDescent="0.25">
      <c r="A65" t="s">
        <v>471</v>
      </c>
      <c r="B65">
        <v>33894</v>
      </c>
      <c r="C65" t="s">
        <v>168</v>
      </c>
      <c r="D65" t="s">
        <v>472</v>
      </c>
      <c r="E65" t="s">
        <v>473</v>
      </c>
      <c r="F65" t="s">
        <v>17</v>
      </c>
      <c r="G65">
        <v>0</v>
      </c>
      <c r="J65" t="s">
        <v>474</v>
      </c>
      <c r="K65" t="s">
        <v>475</v>
      </c>
      <c r="L65" t="s">
        <v>476</v>
      </c>
      <c r="M65" t="s">
        <v>477</v>
      </c>
    </row>
    <row r="66" spans="1:13" x14ac:dyDescent="0.25">
      <c r="A66" t="s">
        <v>478</v>
      </c>
      <c r="B66">
        <v>19727</v>
      </c>
      <c r="C66" t="s">
        <v>479</v>
      </c>
      <c r="D66" t="s">
        <v>480</v>
      </c>
      <c r="E66" t="s">
        <v>119</v>
      </c>
      <c r="F66" t="s">
        <v>17</v>
      </c>
      <c r="G66">
        <v>0</v>
      </c>
      <c r="J66" t="s">
        <v>481</v>
      </c>
      <c r="K66" t="s">
        <v>482</v>
      </c>
      <c r="L66" t="s">
        <v>483</v>
      </c>
      <c r="M66" t="s">
        <v>484</v>
      </c>
    </row>
    <row r="67" spans="1:13" x14ac:dyDescent="0.25">
      <c r="A67" t="s">
        <v>485</v>
      </c>
      <c r="B67">
        <v>42201</v>
      </c>
      <c r="C67" t="s">
        <v>479</v>
      </c>
      <c r="D67" t="s">
        <v>486</v>
      </c>
      <c r="E67" t="s">
        <v>487</v>
      </c>
      <c r="F67" t="s">
        <v>33</v>
      </c>
      <c r="G67">
        <v>1</v>
      </c>
      <c r="J67" t="s">
        <v>488</v>
      </c>
      <c r="K67" t="s">
        <v>489</v>
      </c>
      <c r="L67" t="s">
        <v>490</v>
      </c>
      <c r="M67" t="s">
        <v>491</v>
      </c>
    </row>
    <row r="68" spans="1:13" x14ac:dyDescent="0.25">
      <c r="A68" t="s">
        <v>492</v>
      </c>
      <c r="B68">
        <v>11003</v>
      </c>
      <c r="C68" t="s">
        <v>86</v>
      </c>
      <c r="D68" t="s">
        <v>493</v>
      </c>
      <c r="E68" t="s">
        <v>494</v>
      </c>
      <c r="F68" t="s">
        <v>17</v>
      </c>
      <c r="G68">
        <v>0</v>
      </c>
      <c r="J68" t="s">
        <v>495</v>
      </c>
      <c r="K68" t="s">
        <v>496</v>
      </c>
      <c r="L68" t="s">
        <v>497</v>
      </c>
      <c r="M68" t="s">
        <v>498</v>
      </c>
    </row>
    <row r="69" spans="1:13" x14ac:dyDescent="0.25">
      <c r="A69" t="s">
        <v>499</v>
      </c>
      <c r="B69">
        <v>64022</v>
      </c>
      <c r="C69" t="s">
        <v>500</v>
      </c>
      <c r="D69" t="s">
        <v>501</v>
      </c>
      <c r="E69" t="s">
        <v>502</v>
      </c>
      <c r="F69" t="s">
        <v>33</v>
      </c>
      <c r="G69">
        <v>1</v>
      </c>
      <c r="J69" t="s">
        <v>503</v>
      </c>
      <c r="K69" t="s">
        <v>504</v>
      </c>
      <c r="L69" t="s">
        <v>505</v>
      </c>
      <c r="M69" t="s">
        <v>506</v>
      </c>
    </row>
    <row r="70" spans="1:13" x14ac:dyDescent="0.25">
      <c r="A70" t="s">
        <v>507</v>
      </c>
      <c r="B70">
        <v>12111</v>
      </c>
      <c r="C70" t="s">
        <v>255</v>
      </c>
      <c r="D70" t="s">
        <v>508</v>
      </c>
      <c r="E70" t="s">
        <v>473</v>
      </c>
      <c r="F70" t="s">
        <v>17</v>
      </c>
      <c r="G70">
        <v>0</v>
      </c>
      <c r="J70" t="s">
        <v>509</v>
      </c>
      <c r="K70" t="s">
        <v>510</v>
      </c>
      <c r="L70" t="s">
        <v>511</v>
      </c>
      <c r="M70" t="s">
        <v>512</v>
      </c>
    </row>
    <row r="71" spans="1:13" x14ac:dyDescent="0.25">
      <c r="A71" t="s">
        <v>513</v>
      </c>
      <c r="B71">
        <v>63869</v>
      </c>
      <c r="C71" t="s">
        <v>514</v>
      </c>
      <c r="D71" t="s">
        <v>515</v>
      </c>
      <c r="E71" t="s">
        <v>516</v>
      </c>
      <c r="F71" t="s">
        <v>17</v>
      </c>
      <c r="G71">
        <v>0</v>
      </c>
      <c r="J71" t="s">
        <v>517</v>
      </c>
      <c r="K71" t="s">
        <v>518</v>
      </c>
      <c r="L71" t="s">
        <v>519</v>
      </c>
      <c r="M71" t="s">
        <v>520</v>
      </c>
    </row>
    <row r="72" spans="1:13" x14ac:dyDescent="0.25">
      <c r="A72" t="s">
        <v>521</v>
      </c>
      <c r="B72">
        <v>19912</v>
      </c>
      <c r="C72" t="s">
        <v>355</v>
      </c>
      <c r="D72" t="s">
        <v>522</v>
      </c>
      <c r="E72" t="s">
        <v>494</v>
      </c>
      <c r="F72" t="s">
        <v>17</v>
      </c>
      <c r="G72">
        <v>0</v>
      </c>
      <c r="J72" t="s">
        <v>523</v>
      </c>
      <c r="K72" t="s">
        <v>524</v>
      </c>
      <c r="L72" t="s">
        <v>525</v>
      </c>
      <c r="M72" t="s">
        <v>526</v>
      </c>
    </row>
    <row r="73" spans="1:13" x14ac:dyDescent="0.25">
      <c r="A73" t="s">
        <v>527</v>
      </c>
      <c r="B73">
        <v>38016</v>
      </c>
      <c r="C73" t="s">
        <v>176</v>
      </c>
      <c r="D73" t="s">
        <v>528</v>
      </c>
      <c r="E73" t="s">
        <v>529</v>
      </c>
      <c r="F73" t="s">
        <v>17</v>
      </c>
      <c r="G73">
        <v>0</v>
      </c>
      <c r="J73" t="s">
        <v>530</v>
      </c>
      <c r="K73" t="s">
        <v>531</v>
      </c>
      <c r="L73" t="s">
        <v>532</v>
      </c>
      <c r="M73" t="s">
        <v>533</v>
      </c>
    </row>
    <row r="74" spans="1:13" x14ac:dyDescent="0.25">
      <c r="A74" t="s">
        <v>534</v>
      </c>
      <c r="B74">
        <v>45856</v>
      </c>
      <c r="C74" t="s">
        <v>535</v>
      </c>
      <c r="D74" t="s">
        <v>536</v>
      </c>
      <c r="E74" t="s">
        <v>537</v>
      </c>
      <c r="F74" t="s">
        <v>17</v>
      </c>
      <c r="G74">
        <v>0</v>
      </c>
      <c r="J74" t="s">
        <v>538</v>
      </c>
      <c r="K74" t="s">
        <v>539</v>
      </c>
      <c r="L74" t="s">
        <v>540</v>
      </c>
      <c r="M74" t="s">
        <v>541</v>
      </c>
    </row>
    <row r="75" spans="1:13" x14ac:dyDescent="0.25">
      <c r="A75" t="s">
        <v>542</v>
      </c>
      <c r="B75">
        <v>15856</v>
      </c>
      <c r="C75" t="s">
        <v>212</v>
      </c>
      <c r="D75" t="s">
        <v>543</v>
      </c>
      <c r="E75" t="s">
        <v>382</v>
      </c>
      <c r="F75" t="s">
        <v>17</v>
      </c>
      <c r="G75">
        <v>0</v>
      </c>
      <c r="J75" t="s">
        <v>544</v>
      </c>
      <c r="K75" t="s">
        <v>545</v>
      </c>
      <c r="L75" t="s">
        <v>546</v>
      </c>
      <c r="M75" t="s">
        <v>547</v>
      </c>
    </row>
    <row r="76" spans="1:13" x14ac:dyDescent="0.25">
      <c r="A76" t="s">
        <v>548</v>
      </c>
      <c r="B76">
        <v>13177</v>
      </c>
      <c r="C76" t="s">
        <v>514</v>
      </c>
      <c r="D76" t="s">
        <v>549</v>
      </c>
      <c r="E76" t="s">
        <v>341</v>
      </c>
      <c r="F76" t="s">
        <v>17</v>
      </c>
      <c r="G76">
        <v>0</v>
      </c>
      <c r="J76" t="s">
        <v>550</v>
      </c>
      <c r="K76" t="s">
        <v>551</v>
      </c>
      <c r="L76" t="s">
        <v>552</v>
      </c>
      <c r="M76" t="s">
        <v>553</v>
      </c>
    </row>
    <row r="77" spans="1:13" x14ac:dyDescent="0.25">
      <c r="A77" t="s">
        <v>554</v>
      </c>
      <c r="B77">
        <v>34529</v>
      </c>
      <c r="C77" t="s">
        <v>47</v>
      </c>
      <c r="D77" t="s">
        <v>555</v>
      </c>
      <c r="E77" t="s">
        <v>556</v>
      </c>
      <c r="F77" t="s">
        <v>17</v>
      </c>
      <c r="G77">
        <v>0</v>
      </c>
      <c r="J77" t="s">
        <v>557</v>
      </c>
      <c r="K77" t="s">
        <v>558</v>
      </c>
      <c r="L77" t="s">
        <v>559</v>
      </c>
      <c r="M77" t="s">
        <v>560</v>
      </c>
    </row>
    <row r="78" spans="1:13" x14ac:dyDescent="0.25">
      <c r="A78" t="s">
        <v>561</v>
      </c>
      <c r="B78">
        <v>19339</v>
      </c>
      <c r="C78" t="s">
        <v>86</v>
      </c>
      <c r="D78" t="s">
        <v>562</v>
      </c>
      <c r="E78" t="s">
        <v>563</v>
      </c>
      <c r="F78" t="s">
        <v>17</v>
      </c>
      <c r="G78">
        <v>0</v>
      </c>
      <c r="J78" t="s">
        <v>564</v>
      </c>
      <c r="K78" t="s">
        <v>565</v>
      </c>
      <c r="L78" t="s">
        <v>566</v>
      </c>
      <c r="M78" t="s">
        <v>567</v>
      </c>
    </row>
    <row r="79" spans="1:13" x14ac:dyDescent="0.25">
      <c r="A79" t="s">
        <v>568</v>
      </c>
      <c r="B79">
        <v>82510</v>
      </c>
      <c r="C79" t="s">
        <v>514</v>
      </c>
      <c r="D79" t="s">
        <v>569</v>
      </c>
      <c r="E79" t="s">
        <v>570</v>
      </c>
      <c r="F79" t="s">
        <v>33</v>
      </c>
      <c r="G79">
        <v>1</v>
      </c>
      <c r="J79" t="s">
        <v>571</v>
      </c>
      <c r="K79" t="s">
        <v>572</v>
      </c>
      <c r="L79" t="s">
        <v>573</v>
      </c>
      <c r="M79" t="s">
        <v>574</v>
      </c>
    </row>
    <row r="80" spans="1:13" x14ac:dyDescent="0.25">
      <c r="A80" t="s">
        <v>575</v>
      </c>
      <c r="B80">
        <v>15314</v>
      </c>
      <c r="C80" t="s">
        <v>355</v>
      </c>
      <c r="D80" t="s">
        <v>576</v>
      </c>
      <c r="E80" t="s">
        <v>577</v>
      </c>
      <c r="F80" t="s">
        <v>17</v>
      </c>
      <c r="G80">
        <v>0</v>
      </c>
      <c r="J80" t="s">
        <v>578</v>
      </c>
      <c r="K80" t="s">
        <v>579</v>
      </c>
      <c r="L80" t="s">
        <v>580</v>
      </c>
      <c r="M80" t="s">
        <v>581</v>
      </c>
    </row>
    <row r="81" spans="1:13" x14ac:dyDescent="0.25">
      <c r="A81" t="s">
        <v>582</v>
      </c>
      <c r="B81">
        <v>56635</v>
      </c>
      <c r="C81" t="s">
        <v>500</v>
      </c>
      <c r="D81" t="s">
        <v>583</v>
      </c>
      <c r="E81" t="s">
        <v>584</v>
      </c>
      <c r="F81" t="s">
        <v>17</v>
      </c>
      <c r="G81">
        <v>0</v>
      </c>
      <c r="J81" t="s">
        <v>585</v>
      </c>
      <c r="K81" t="s">
        <v>586</v>
      </c>
      <c r="L81" t="s">
        <v>587</v>
      </c>
      <c r="M81" t="s">
        <v>588</v>
      </c>
    </row>
    <row r="82" spans="1:13" x14ac:dyDescent="0.25">
      <c r="A82" t="s">
        <v>589</v>
      </c>
      <c r="B82">
        <v>14855</v>
      </c>
      <c r="C82" t="s">
        <v>94</v>
      </c>
      <c r="D82" t="s">
        <v>590</v>
      </c>
      <c r="E82" t="s">
        <v>591</v>
      </c>
      <c r="F82" t="s">
        <v>17</v>
      </c>
      <c r="G82">
        <v>0</v>
      </c>
      <c r="J82" t="s">
        <v>592</v>
      </c>
      <c r="K82" t="s">
        <v>593</v>
      </c>
      <c r="L82" t="s">
        <v>594</v>
      </c>
    </row>
    <row r="83" spans="1:13" x14ac:dyDescent="0.25">
      <c r="A83" t="s">
        <v>595</v>
      </c>
      <c r="B83">
        <v>74571</v>
      </c>
      <c r="C83" t="s">
        <v>535</v>
      </c>
      <c r="D83" t="s">
        <v>596</v>
      </c>
      <c r="E83" t="s">
        <v>597</v>
      </c>
      <c r="F83" t="s">
        <v>33</v>
      </c>
      <c r="G83">
        <v>1</v>
      </c>
      <c r="J83" t="s">
        <v>598</v>
      </c>
      <c r="K83" t="s">
        <v>599</v>
      </c>
      <c r="L83" t="s">
        <v>600</v>
      </c>
      <c r="M83" t="s">
        <v>601</v>
      </c>
    </row>
    <row r="84" spans="1:13" x14ac:dyDescent="0.25">
      <c r="A84" t="s">
        <v>602</v>
      </c>
      <c r="B84">
        <v>14890</v>
      </c>
      <c r="C84" t="s">
        <v>535</v>
      </c>
      <c r="D84" t="s">
        <v>603</v>
      </c>
      <c r="E84" t="s">
        <v>604</v>
      </c>
      <c r="F84" t="s">
        <v>17</v>
      </c>
      <c r="G84">
        <v>0</v>
      </c>
      <c r="J84" t="s">
        <v>605</v>
      </c>
      <c r="K84" t="s">
        <v>606</v>
      </c>
      <c r="L84" t="s">
        <v>607</v>
      </c>
      <c r="M84" t="s">
        <v>608</v>
      </c>
    </row>
    <row r="85" spans="1:13" x14ac:dyDescent="0.25">
      <c r="A85" t="s">
        <v>609</v>
      </c>
      <c r="B85">
        <v>88383</v>
      </c>
      <c r="C85" t="s">
        <v>457</v>
      </c>
      <c r="D85" t="s">
        <v>610</v>
      </c>
      <c r="E85" t="s">
        <v>611</v>
      </c>
      <c r="F85" t="s">
        <v>17</v>
      </c>
      <c r="G85">
        <v>0</v>
      </c>
      <c r="J85" t="s">
        <v>612</v>
      </c>
      <c r="K85" t="s">
        <v>613</v>
      </c>
      <c r="L85" t="s">
        <v>614</v>
      </c>
      <c r="M85" t="s">
        <v>615</v>
      </c>
    </row>
    <row r="86" spans="1:13" x14ac:dyDescent="0.25">
      <c r="A86" t="s">
        <v>616</v>
      </c>
      <c r="B86">
        <v>20402</v>
      </c>
      <c r="C86" t="s">
        <v>617</v>
      </c>
      <c r="D86" t="s">
        <v>618</v>
      </c>
      <c r="E86" t="s">
        <v>619</v>
      </c>
      <c r="F86" t="s">
        <v>17</v>
      </c>
      <c r="G86">
        <v>0</v>
      </c>
      <c r="J86" t="s">
        <v>620</v>
      </c>
      <c r="K86" t="s">
        <v>621</v>
      </c>
      <c r="L86" t="s">
        <v>622</v>
      </c>
      <c r="M86" t="s">
        <v>623</v>
      </c>
    </row>
    <row r="87" spans="1:13" x14ac:dyDescent="0.25">
      <c r="A87" t="s">
        <v>624</v>
      </c>
      <c r="B87">
        <v>19151</v>
      </c>
      <c r="C87" t="s">
        <v>47</v>
      </c>
      <c r="D87" t="s">
        <v>625</v>
      </c>
      <c r="E87" t="s">
        <v>382</v>
      </c>
      <c r="F87" t="s">
        <v>17</v>
      </c>
      <c r="G87">
        <v>0</v>
      </c>
      <c r="J87" t="s">
        <v>626</v>
      </c>
      <c r="K87" t="s">
        <v>627</v>
      </c>
      <c r="L87" t="s">
        <v>628</v>
      </c>
      <c r="M87" t="s">
        <v>629</v>
      </c>
    </row>
    <row r="88" spans="1:13" x14ac:dyDescent="0.25">
      <c r="A88" t="s">
        <v>630</v>
      </c>
      <c r="B88">
        <v>12836</v>
      </c>
      <c r="C88" t="s">
        <v>22</v>
      </c>
      <c r="D88" t="s">
        <v>631</v>
      </c>
      <c r="E88" t="s">
        <v>632</v>
      </c>
      <c r="F88" t="s">
        <v>17</v>
      </c>
      <c r="G88">
        <v>0</v>
      </c>
      <c r="J88" t="s">
        <v>633</v>
      </c>
      <c r="K88" t="s">
        <v>634</v>
      </c>
      <c r="L88" t="s">
        <v>635</v>
      </c>
      <c r="M88" t="s">
        <v>636</v>
      </c>
    </row>
    <row r="89" spans="1:13" x14ac:dyDescent="0.25">
      <c r="A89" t="s">
        <v>637</v>
      </c>
      <c r="B89">
        <v>22577</v>
      </c>
      <c r="C89" t="s">
        <v>388</v>
      </c>
      <c r="D89" t="s">
        <v>638</v>
      </c>
      <c r="E89" t="s">
        <v>639</v>
      </c>
      <c r="F89" t="s">
        <v>17</v>
      </c>
      <c r="G89">
        <v>0</v>
      </c>
      <c r="J89" t="s">
        <v>640</v>
      </c>
      <c r="K89" t="s">
        <v>641</v>
      </c>
      <c r="L89" t="s">
        <v>642</v>
      </c>
      <c r="M89" t="s">
        <v>643</v>
      </c>
    </row>
    <row r="90" spans="1:13" x14ac:dyDescent="0.25">
      <c r="A90" t="s">
        <v>644</v>
      </c>
      <c r="B90">
        <v>2730</v>
      </c>
      <c r="C90" t="s">
        <v>94</v>
      </c>
      <c r="D90" t="s">
        <v>645</v>
      </c>
      <c r="E90" t="s">
        <v>563</v>
      </c>
      <c r="F90" t="s">
        <v>17</v>
      </c>
      <c r="G90">
        <v>0</v>
      </c>
      <c r="J90" t="s">
        <v>646</v>
      </c>
      <c r="K90" t="s">
        <v>647</v>
      </c>
      <c r="L90" t="s">
        <v>648</v>
      </c>
      <c r="M90" t="s">
        <v>649</v>
      </c>
    </row>
    <row r="91" spans="1:13" x14ac:dyDescent="0.25">
      <c r="A91" t="s">
        <v>650</v>
      </c>
      <c r="B91">
        <v>46865</v>
      </c>
      <c r="C91" t="s">
        <v>651</v>
      </c>
      <c r="D91" t="s">
        <v>652</v>
      </c>
      <c r="E91" t="s">
        <v>653</v>
      </c>
      <c r="F91" t="s">
        <v>33</v>
      </c>
      <c r="G91">
        <v>1</v>
      </c>
      <c r="J91" t="s">
        <v>654</v>
      </c>
      <c r="K91" t="s">
        <v>655</v>
      </c>
      <c r="L91" t="s">
        <v>656</v>
      </c>
      <c r="M91" t="s">
        <v>657</v>
      </c>
    </row>
    <row r="92" spans="1:13" x14ac:dyDescent="0.25">
      <c r="A92" t="s">
        <v>658</v>
      </c>
      <c r="B92">
        <v>17461</v>
      </c>
      <c r="C92" t="s">
        <v>355</v>
      </c>
      <c r="D92" t="s">
        <v>659</v>
      </c>
      <c r="E92" t="s">
        <v>660</v>
      </c>
      <c r="F92" t="s">
        <v>17</v>
      </c>
      <c r="G92">
        <v>0</v>
      </c>
      <c r="J92" t="s">
        <v>661</v>
      </c>
      <c r="K92" t="s">
        <v>662</v>
      </c>
      <c r="L92" t="s">
        <v>663</v>
      </c>
      <c r="M92" t="s">
        <v>664</v>
      </c>
    </row>
    <row r="93" spans="1:13" x14ac:dyDescent="0.25">
      <c r="A93" t="s">
        <v>665</v>
      </c>
      <c r="B93">
        <v>24279</v>
      </c>
      <c r="C93" t="s">
        <v>617</v>
      </c>
      <c r="D93" t="s">
        <v>666</v>
      </c>
      <c r="E93" t="s">
        <v>667</v>
      </c>
      <c r="F93" t="s">
        <v>33</v>
      </c>
      <c r="G93">
        <v>1</v>
      </c>
      <c r="J93" t="s">
        <v>668</v>
      </c>
      <c r="K93" t="s">
        <v>669</v>
      </c>
      <c r="L93" t="s">
        <v>670</v>
      </c>
      <c r="M93" t="s">
        <v>671</v>
      </c>
    </row>
    <row r="94" spans="1:13" x14ac:dyDescent="0.25">
      <c r="A94" t="s">
        <v>672</v>
      </c>
      <c r="B94">
        <v>221038</v>
      </c>
      <c r="C94" t="s">
        <v>47</v>
      </c>
      <c r="D94" t="s">
        <v>673</v>
      </c>
      <c r="E94" t="s">
        <v>674</v>
      </c>
      <c r="F94" t="s">
        <v>17</v>
      </c>
      <c r="G94">
        <v>0</v>
      </c>
      <c r="J94" t="s">
        <v>675</v>
      </c>
      <c r="K94" t="s">
        <v>676</v>
      </c>
      <c r="L94" t="s">
        <v>677</v>
      </c>
      <c r="M94" t="s">
        <v>678</v>
      </c>
    </row>
    <row r="95" spans="1:13" x14ac:dyDescent="0.25">
      <c r="A95" t="s">
        <v>679</v>
      </c>
      <c r="B95">
        <v>10707</v>
      </c>
      <c r="C95" t="s">
        <v>22</v>
      </c>
      <c r="D95" t="s">
        <v>680</v>
      </c>
      <c r="E95" t="s">
        <v>127</v>
      </c>
      <c r="F95" t="s">
        <v>17</v>
      </c>
      <c r="G95">
        <v>0</v>
      </c>
      <c r="J95" t="s">
        <v>681</v>
      </c>
      <c r="K95" t="s">
        <v>682</v>
      </c>
      <c r="L95" t="s">
        <v>683</v>
      </c>
      <c r="M95" t="s">
        <v>684</v>
      </c>
    </row>
    <row r="96" spans="1:13" x14ac:dyDescent="0.25">
      <c r="A96" t="s">
        <v>685</v>
      </c>
      <c r="B96">
        <v>69639</v>
      </c>
      <c r="C96" t="s">
        <v>94</v>
      </c>
      <c r="D96" t="s">
        <v>686</v>
      </c>
      <c r="E96" t="s">
        <v>687</v>
      </c>
      <c r="F96" t="s">
        <v>17</v>
      </c>
      <c r="G96">
        <v>0</v>
      </c>
      <c r="J96" t="s">
        <v>688</v>
      </c>
      <c r="K96" t="s">
        <v>689</v>
      </c>
      <c r="L96" t="s">
        <v>690</v>
      </c>
      <c r="M96" t="s">
        <v>691</v>
      </c>
    </row>
    <row r="97" spans="1:13" x14ac:dyDescent="0.25">
      <c r="A97" t="s">
        <v>692</v>
      </c>
      <c r="B97">
        <v>15058</v>
      </c>
      <c r="C97" t="s">
        <v>55</v>
      </c>
      <c r="D97" t="s">
        <v>693</v>
      </c>
      <c r="E97" t="s">
        <v>694</v>
      </c>
      <c r="F97" t="s">
        <v>17</v>
      </c>
      <c r="G97">
        <v>0</v>
      </c>
      <c r="J97" t="s">
        <v>695</v>
      </c>
      <c r="K97" t="s">
        <v>696</v>
      </c>
      <c r="L97" t="s">
        <v>697</v>
      </c>
      <c r="M97" t="s">
        <v>698</v>
      </c>
    </row>
    <row r="98" spans="1:13" x14ac:dyDescent="0.25">
      <c r="A98" t="s">
        <v>699</v>
      </c>
      <c r="B98">
        <v>32304</v>
      </c>
      <c r="C98" t="s">
        <v>168</v>
      </c>
      <c r="D98" t="s">
        <v>700</v>
      </c>
      <c r="E98" t="s">
        <v>701</v>
      </c>
      <c r="F98" t="s">
        <v>17</v>
      </c>
      <c r="G98">
        <v>0</v>
      </c>
      <c r="J98" t="s">
        <v>702</v>
      </c>
      <c r="K98" t="s">
        <v>703</v>
      </c>
      <c r="L98" t="s">
        <v>704</v>
      </c>
      <c r="M98" t="s">
        <v>705</v>
      </c>
    </row>
    <row r="99" spans="1:13" x14ac:dyDescent="0.25">
      <c r="A99" t="s">
        <v>706</v>
      </c>
      <c r="B99">
        <v>31777</v>
      </c>
      <c r="C99" t="s">
        <v>347</v>
      </c>
      <c r="D99" t="s">
        <v>707</v>
      </c>
      <c r="E99" t="s">
        <v>708</v>
      </c>
      <c r="F99" t="s">
        <v>17</v>
      </c>
      <c r="G99">
        <v>0</v>
      </c>
      <c r="J99" t="s">
        <v>709</v>
      </c>
      <c r="K99" t="s">
        <v>710</v>
      </c>
      <c r="L99" t="s">
        <v>711</v>
      </c>
      <c r="M99" t="s">
        <v>712</v>
      </c>
    </row>
    <row r="100" spans="1:13" x14ac:dyDescent="0.25">
      <c r="A100" t="s">
        <v>713</v>
      </c>
      <c r="B100">
        <v>11926</v>
      </c>
      <c r="C100" t="s">
        <v>212</v>
      </c>
      <c r="D100" t="s">
        <v>714</v>
      </c>
      <c r="E100" t="s">
        <v>715</v>
      </c>
      <c r="F100" t="s">
        <v>17</v>
      </c>
      <c r="G100">
        <v>0</v>
      </c>
      <c r="J100" t="s">
        <v>716</v>
      </c>
      <c r="K100" t="s">
        <v>717</v>
      </c>
      <c r="L100" t="s">
        <v>718</v>
      </c>
      <c r="M100" t="s">
        <v>719</v>
      </c>
    </row>
    <row r="101" spans="1:13" x14ac:dyDescent="0.25">
      <c r="A101" t="s">
        <v>720</v>
      </c>
      <c r="B101">
        <v>91418</v>
      </c>
      <c r="C101" t="s">
        <v>102</v>
      </c>
      <c r="D101" t="s">
        <v>721</v>
      </c>
      <c r="E101" t="s">
        <v>722</v>
      </c>
      <c r="F101" t="s">
        <v>33</v>
      </c>
      <c r="G101">
        <v>1</v>
      </c>
      <c r="J101" t="s">
        <v>723</v>
      </c>
      <c r="K101" t="s">
        <v>724</v>
      </c>
      <c r="L101" t="s">
        <v>725</v>
      </c>
      <c r="M101" t="s">
        <v>726</v>
      </c>
    </row>
    <row r="102" spans="1:13" x14ac:dyDescent="0.25">
      <c r="A102" t="s">
        <v>727</v>
      </c>
      <c r="B102">
        <v>87424</v>
      </c>
      <c r="C102" t="s">
        <v>212</v>
      </c>
      <c r="D102" t="s">
        <v>728</v>
      </c>
      <c r="E102" t="s">
        <v>729</v>
      </c>
      <c r="F102" t="s">
        <v>17</v>
      </c>
      <c r="G102">
        <v>0</v>
      </c>
      <c r="J102" t="s">
        <v>730</v>
      </c>
      <c r="K102" t="s">
        <v>731</v>
      </c>
      <c r="L102" t="s">
        <v>732</v>
      </c>
      <c r="M102" t="s">
        <v>733</v>
      </c>
    </row>
    <row r="103" spans="1:13" x14ac:dyDescent="0.25">
      <c r="A103" t="s">
        <v>734</v>
      </c>
      <c r="B103">
        <v>11674</v>
      </c>
      <c r="C103" t="s">
        <v>319</v>
      </c>
      <c r="D103" t="s">
        <v>735</v>
      </c>
      <c r="E103" t="s">
        <v>736</v>
      </c>
      <c r="F103" t="s">
        <v>17</v>
      </c>
      <c r="G103">
        <v>0</v>
      </c>
      <c r="J103" t="s">
        <v>737</v>
      </c>
      <c r="K103" t="s">
        <v>738</v>
      </c>
      <c r="L103" t="s">
        <v>739</v>
      </c>
      <c r="M103" t="s">
        <v>740</v>
      </c>
    </row>
    <row r="104" spans="1:13" x14ac:dyDescent="0.25">
      <c r="A104" t="s">
        <v>741</v>
      </c>
      <c r="B104">
        <v>31167</v>
      </c>
      <c r="C104" t="s">
        <v>514</v>
      </c>
      <c r="D104" t="s">
        <v>742</v>
      </c>
      <c r="E104" t="s">
        <v>743</v>
      </c>
      <c r="F104" t="s">
        <v>17</v>
      </c>
      <c r="G104">
        <v>0</v>
      </c>
      <c r="J104" t="s">
        <v>744</v>
      </c>
      <c r="K104" t="s">
        <v>745</v>
      </c>
      <c r="L104" t="s">
        <v>746</v>
      </c>
      <c r="M104" t="s">
        <v>747</v>
      </c>
    </row>
    <row r="105" spans="1:13" x14ac:dyDescent="0.25">
      <c r="A105" t="s">
        <v>748</v>
      </c>
      <c r="B105">
        <v>23129</v>
      </c>
      <c r="C105" t="s">
        <v>617</v>
      </c>
      <c r="D105" t="s">
        <v>749</v>
      </c>
      <c r="E105" t="s">
        <v>750</v>
      </c>
      <c r="F105" t="s">
        <v>17</v>
      </c>
      <c r="G105">
        <v>0</v>
      </c>
      <c r="J105" t="s">
        <v>751</v>
      </c>
      <c r="K105" t="s">
        <v>752</v>
      </c>
      <c r="L105" t="s">
        <v>753</v>
      </c>
      <c r="M105" t="s">
        <v>754</v>
      </c>
    </row>
    <row r="106" spans="1:13" x14ac:dyDescent="0.25">
      <c r="A106" t="s">
        <v>755</v>
      </c>
      <c r="B106">
        <v>11776</v>
      </c>
      <c r="C106" t="s">
        <v>22</v>
      </c>
      <c r="D106" t="s">
        <v>756</v>
      </c>
      <c r="E106" t="s">
        <v>382</v>
      </c>
      <c r="F106" t="s">
        <v>17</v>
      </c>
      <c r="G106">
        <v>0</v>
      </c>
      <c r="J106" t="s">
        <v>757</v>
      </c>
      <c r="K106" t="s">
        <v>758</v>
      </c>
      <c r="L106" t="s">
        <v>759</v>
      </c>
      <c r="M106" t="s">
        <v>760</v>
      </c>
    </row>
    <row r="107" spans="1:13" x14ac:dyDescent="0.25">
      <c r="A107" t="s">
        <v>761</v>
      </c>
      <c r="B107">
        <v>11661</v>
      </c>
      <c r="C107" t="s">
        <v>197</v>
      </c>
      <c r="D107" t="s">
        <v>762</v>
      </c>
      <c r="E107" t="s">
        <v>763</v>
      </c>
      <c r="F107" t="s">
        <v>17</v>
      </c>
      <c r="G107">
        <v>0</v>
      </c>
      <c r="J107" t="s">
        <v>764</v>
      </c>
      <c r="K107" t="s">
        <v>765</v>
      </c>
      <c r="L107" t="s">
        <v>766</v>
      </c>
      <c r="M107" t="s">
        <v>767</v>
      </c>
    </row>
    <row r="108" spans="1:13" x14ac:dyDescent="0.25">
      <c r="A108" t="s">
        <v>768</v>
      </c>
      <c r="B108">
        <v>57408</v>
      </c>
      <c r="C108" t="s">
        <v>270</v>
      </c>
      <c r="D108" t="s">
        <v>769</v>
      </c>
      <c r="E108" t="s">
        <v>770</v>
      </c>
      <c r="F108" t="s">
        <v>33</v>
      </c>
      <c r="G108">
        <v>1</v>
      </c>
      <c r="J108" t="s">
        <v>771</v>
      </c>
      <c r="K108" t="s">
        <v>772</v>
      </c>
      <c r="L108" t="s">
        <v>773</v>
      </c>
      <c r="M108" t="s">
        <v>774</v>
      </c>
    </row>
    <row r="109" spans="1:13" x14ac:dyDescent="0.25">
      <c r="A109" t="s">
        <v>775</v>
      </c>
      <c r="B109">
        <v>13176</v>
      </c>
      <c r="C109" t="s">
        <v>255</v>
      </c>
      <c r="D109" t="s">
        <v>776</v>
      </c>
      <c r="E109" t="s">
        <v>777</v>
      </c>
      <c r="F109" t="s">
        <v>17</v>
      </c>
      <c r="G109">
        <v>0</v>
      </c>
      <c r="J109" t="s">
        <v>778</v>
      </c>
      <c r="K109" t="s">
        <v>779</v>
      </c>
      <c r="L109" t="s">
        <v>780</v>
      </c>
      <c r="M109" t="s">
        <v>781</v>
      </c>
    </row>
    <row r="110" spans="1:13" x14ac:dyDescent="0.25">
      <c r="A110" t="s">
        <v>782</v>
      </c>
      <c r="B110">
        <v>35885</v>
      </c>
      <c r="C110" t="s">
        <v>176</v>
      </c>
      <c r="D110" t="s">
        <v>783</v>
      </c>
      <c r="E110" t="s">
        <v>784</v>
      </c>
      <c r="F110" t="s">
        <v>17</v>
      </c>
      <c r="G110">
        <v>0</v>
      </c>
      <c r="J110" t="s">
        <v>785</v>
      </c>
      <c r="K110" t="s">
        <v>786</v>
      </c>
      <c r="L110" t="s">
        <v>787</v>
      </c>
      <c r="M110" t="s">
        <v>788</v>
      </c>
    </row>
    <row r="111" spans="1:13" x14ac:dyDescent="0.25">
      <c r="A111" t="s">
        <v>789</v>
      </c>
      <c r="B111">
        <v>78838</v>
      </c>
      <c r="C111" t="s">
        <v>790</v>
      </c>
      <c r="D111" t="s">
        <v>791</v>
      </c>
      <c r="E111" t="s">
        <v>750</v>
      </c>
      <c r="F111" t="s">
        <v>33</v>
      </c>
      <c r="G111">
        <v>1</v>
      </c>
      <c r="J111" t="s">
        <v>792</v>
      </c>
      <c r="K111" t="s">
        <v>793</v>
      </c>
      <c r="L111" t="s">
        <v>794</v>
      </c>
      <c r="M111" t="s">
        <v>795</v>
      </c>
    </row>
    <row r="112" spans="1:13" x14ac:dyDescent="0.25">
      <c r="A112" t="s">
        <v>796</v>
      </c>
      <c r="B112">
        <v>1238</v>
      </c>
      <c r="C112" t="s">
        <v>14</v>
      </c>
      <c r="D112" t="s">
        <v>797</v>
      </c>
      <c r="E112" t="s">
        <v>743</v>
      </c>
      <c r="F112" t="s">
        <v>17</v>
      </c>
      <c r="G112">
        <v>0</v>
      </c>
    </row>
    <row r="113" spans="1:13" x14ac:dyDescent="0.25">
      <c r="A113" t="s">
        <v>798</v>
      </c>
      <c r="B113">
        <v>774</v>
      </c>
      <c r="C113" t="s">
        <v>14</v>
      </c>
      <c r="D113" t="s">
        <v>799</v>
      </c>
      <c r="E113" t="s">
        <v>341</v>
      </c>
      <c r="F113" t="s">
        <v>17</v>
      </c>
      <c r="G113">
        <v>0</v>
      </c>
    </row>
    <row r="114" spans="1:13" x14ac:dyDescent="0.25">
      <c r="A114" t="s">
        <v>800</v>
      </c>
      <c r="B114">
        <v>579</v>
      </c>
      <c r="C114" t="s">
        <v>14</v>
      </c>
      <c r="D114" t="s">
        <v>801</v>
      </c>
      <c r="E114" t="s">
        <v>494</v>
      </c>
      <c r="F114" t="s">
        <v>17</v>
      </c>
      <c r="G114">
        <v>0</v>
      </c>
    </row>
    <row r="115" spans="1:13" x14ac:dyDescent="0.25">
      <c r="A115" t="s">
        <v>802</v>
      </c>
      <c r="B115">
        <v>541</v>
      </c>
      <c r="C115" t="s">
        <v>14</v>
      </c>
      <c r="D115" t="s">
        <v>803</v>
      </c>
      <c r="E115" t="s">
        <v>804</v>
      </c>
      <c r="F115" t="s">
        <v>17</v>
      </c>
      <c r="G115">
        <v>0</v>
      </c>
    </row>
    <row r="116" spans="1:13" x14ac:dyDescent="0.25">
      <c r="A116" t="s">
        <v>805</v>
      </c>
      <c r="B116">
        <v>352</v>
      </c>
      <c r="C116" t="s">
        <v>14</v>
      </c>
      <c r="D116" t="s">
        <v>806</v>
      </c>
      <c r="E116" t="s">
        <v>807</v>
      </c>
      <c r="F116" t="s">
        <v>17</v>
      </c>
      <c r="G116">
        <v>0</v>
      </c>
    </row>
    <row r="117" spans="1:13" x14ac:dyDescent="0.25">
      <c r="A117" t="s">
        <v>808</v>
      </c>
      <c r="B117">
        <v>146</v>
      </c>
      <c r="C117" t="s">
        <v>14</v>
      </c>
      <c r="D117" t="s">
        <v>809</v>
      </c>
      <c r="E117" t="s">
        <v>119</v>
      </c>
      <c r="F117" t="s">
        <v>17</v>
      </c>
      <c r="G117">
        <v>0</v>
      </c>
    </row>
    <row r="118" spans="1:13" x14ac:dyDescent="0.25">
      <c r="A118" t="s">
        <v>810</v>
      </c>
      <c r="B118">
        <v>0</v>
      </c>
      <c r="C118" t="s">
        <v>14</v>
      </c>
      <c r="D118" t="s">
        <v>811</v>
      </c>
      <c r="E118" t="s">
        <v>812</v>
      </c>
      <c r="F118" t="s">
        <v>17</v>
      </c>
      <c r="G118">
        <v>0</v>
      </c>
    </row>
    <row r="119" spans="1:13" x14ac:dyDescent="0.25">
      <c r="A119" t="s">
        <v>813</v>
      </c>
      <c r="B119">
        <v>0</v>
      </c>
      <c r="C119" t="s">
        <v>14</v>
      </c>
      <c r="D119" t="s">
        <v>814</v>
      </c>
      <c r="E119" t="s">
        <v>815</v>
      </c>
      <c r="F119" t="s">
        <v>17</v>
      </c>
      <c r="G119">
        <v>0</v>
      </c>
    </row>
    <row r="120" spans="1:13" x14ac:dyDescent="0.25">
      <c r="A120" t="s">
        <v>816</v>
      </c>
      <c r="B120">
        <v>0</v>
      </c>
      <c r="C120" t="s">
        <v>14</v>
      </c>
      <c r="D120" t="s">
        <v>817</v>
      </c>
      <c r="E120" t="s">
        <v>818</v>
      </c>
      <c r="F120" t="s">
        <v>17</v>
      </c>
      <c r="G120">
        <v>0</v>
      </c>
    </row>
    <row r="121" spans="1:13" x14ac:dyDescent="0.25">
      <c r="A121" t="s">
        <v>819</v>
      </c>
      <c r="B121">
        <v>26687</v>
      </c>
      <c r="C121" t="s">
        <v>319</v>
      </c>
      <c r="D121" t="s">
        <v>820</v>
      </c>
      <c r="E121" t="s">
        <v>821</v>
      </c>
      <c r="F121" t="s">
        <v>17</v>
      </c>
      <c r="G121">
        <v>0</v>
      </c>
      <c r="J121" t="s">
        <v>822</v>
      </c>
      <c r="L121" t="s">
        <v>823</v>
      </c>
      <c r="M121" t="s">
        <v>824</v>
      </c>
    </row>
    <row r="122" spans="1:13" x14ac:dyDescent="0.25">
      <c r="A122" t="s">
        <v>825</v>
      </c>
      <c r="B122">
        <v>10996</v>
      </c>
      <c r="C122" t="s">
        <v>319</v>
      </c>
      <c r="D122" t="s">
        <v>826</v>
      </c>
      <c r="E122" t="s">
        <v>827</v>
      </c>
      <c r="F122" t="s">
        <v>17</v>
      </c>
      <c r="G122">
        <v>0</v>
      </c>
    </row>
    <row r="123" spans="1:13" x14ac:dyDescent="0.25">
      <c r="A123" t="s">
        <v>828</v>
      </c>
      <c r="B123">
        <v>9436</v>
      </c>
      <c r="C123" t="s">
        <v>319</v>
      </c>
      <c r="D123" t="s">
        <v>829</v>
      </c>
      <c r="E123" t="s">
        <v>830</v>
      </c>
      <c r="F123" t="s">
        <v>17</v>
      </c>
      <c r="G123">
        <v>0</v>
      </c>
    </row>
    <row r="124" spans="1:13" x14ac:dyDescent="0.25">
      <c r="A124" t="s">
        <v>831</v>
      </c>
      <c r="B124">
        <v>7569</v>
      </c>
      <c r="C124" t="s">
        <v>319</v>
      </c>
      <c r="D124" t="s">
        <v>832</v>
      </c>
      <c r="E124" t="s">
        <v>743</v>
      </c>
      <c r="F124" t="s">
        <v>17</v>
      </c>
      <c r="G124">
        <v>0</v>
      </c>
    </row>
    <row r="125" spans="1:13" x14ac:dyDescent="0.25">
      <c r="A125" t="s">
        <v>833</v>
      </c>
      <c r="B125">
        <v>5135</v>
      </c>
      <c r="C125" t="s">
        <v>319</v>
      </c>
      <c r="D125" t="s">
        <v>834</v>
      </c>
      <c r="E125" t="s">
        <v>835</v>
      </c>
      <c r="F125" t="s">
        <v>17</v>
      </c>
      <c r="G125">
        <v>0</v>
      </c>
    </row>
    <row r="126" spans="1:13" x14ac:dyDescent="0.25">
      <c r="A126" t="s">
        <v>836</v>
      </c>
      <c r="B126">
        <v>2516</v>
      </c>
      <c r="C126" t="s">
        <v>319</v>
      </c>
      <c r="D126" t="s">
        <v>837</v>
      </c>
      <c r="E126" t="s">
        <v>199</v>
      </c>
      <c r="F126" t="s">
        <v>17</v>
      </c>
      <c r="G126">
        <v>0</v>
      </c>
    </row>
    <row r="127" spans="1:13" x14ac:dyDescent="0.25">
      <c r="A127" t="s">
        <v>838</v>
      </c>
      <c r="B127">
        <v>1928</v>
      </c>
      <c r="C127" t="s">
        <v>319</v>
      </c>
      <c r="D127" t="s">
        <v>839</v>
      </c>
      <c r="E127" t="s">
        <v>206</v>
      </c>
      <c r="F127" t="s">
        <v>17</v>
      </c>
      <c r="G127">
        <v>0</v>
      </c>
    </row>
    <row r="128" spans="1:13" x14ac:dyDescent="0.25">
      <c r="A128" t="s">
        <v>840</v>
      </c>
      <c r="B128">
        <v>1914</v>
      </c>
      <c r="C128" t="s">
        <v>319</v>
      </c>
      <c r="D128" t="s">
        <v>841</v>
      </c>
      <c r="E128" t="s">
        <v>382</v>
      </c>
      <c r="F128" t="s">
        <v>17</v>
      </c>
      <c r="G128">
        <v>0</v>
      </c>
    </row>
    <row r="129" spans="1:13" x14ac:dyDescent="0.25">
      <c r="A129" t="s">
        <v>842</v>
      </c>
      <c r="B129">
        <v>1503</v>
      </c>
      <c r="C129" t="s">
        <v>319</v>
      </c>
      <c r="D129" t="s">
        <v>843</v>
      </c>
      <c r="E129" t="s">
        <v>815</v>
      </c>
      <c r="F129" t="s">
        <v>17</v>
      </c>
      <c r="G129">
        <v>0</v>
      </c>
    </row>
    <row r="130" spans="1:13" x14ac:dyDescent="0.25">
      <c r="A130" t="s">
        <v>844</v>
      </c>
      <c r="B130">
        <v>983</v>
      </c>
      <c r="C130" t="s">
        <v>319</v>
      </c>
      <c r="D130" t="s">
        <v>845</v>
      </c>
      <c r="E130" t="s">
        <v>214</v>
      </c>
      <c r="F130" t="s">
        <v>17</v>
      </c>
      <c r="G130">
        <v>0</v>
      </c>
    </row>
    <row r="131" spans="1:13" x14ac:dyDescent="0.25">
      <c r="A131" t="s">
        <v>846</v>
      </c>
      <c r="B131">
        <v>698</v>
      </c>
      <c r="C131" t="s">
        <v>319</v>
      </c>
      <c r="D131" t="s">
        <v>847</v>
      </c>
      <c r="E131" t="s">
        <v>807</v>
      </c>
      <c r="F131" t="s">
        <v>17</v>
      </c>
      <c r="G131">
        <v>0</v>
      </c>
    </row>
    <row r="132" spans="1:13" x14ac:dyDescent="0.25">
      <c r="A132" t="s">
        <v>848</v>
      </c>
      <c r="B132">
        <v>388</v>
      </c>
      <c r="C132" t="s">
        <v>319</v>
      </c>
      <c r="D132" t="s">
        <v>849</v>
      </c>
      <c r="E132" t="s">
        <v>563</v>
      </c>
      <c r="F132" t="s">
        <v>17</v>
      </c>
      <c r="G132">
        <v>0</v>
      </c>
    </row>
    <row r="133" spans="1:13" x14ac:dyDescent="0.25">
      <c r="A133" t="s">
        <v>850</v>
      </c>
      <c r="B133">
        <v>2740</v>
      </c>
      <c r="C133" t="s">
        <v>125</v>
      </c>
      <c r="D133" t="s">
        <v>851</v>
      </c>
      <c r="E133" t="s">
        <v>743</v>
      </c>
      <c r="F133" t="s">
        <v>17</v>
      </c>
      <c r="G133">
        <v>0</v>
      </c>
    </row>
    <row r="134" spans="1:13" x14ac:dyDescent="0.25">
      <c r="A134" t="s">
        <v>852</v>
      </c>
      <c r="B134">
        <v>1020</v>
      </c>
      <c r="C134" t="s">
        <v>125</v>
      </c>
      <c r="D134" t="s">
        <v>853</v>
      </c>
      <c r="E134" t="s">
        <v>812</v>
      </c>
      <c r="F134" t="s">
        <v>17</v>
      </c>
      <c r="G134">
        <v>0</v>
      </c>
    </row>
    <row r="135" spans="1:13" x14ac:dyDescent="0.25">
      <c r="A135" t="s">
        <v>854</v>
      </c>
      <c r="B135">
        <v>1000</v>
      </c>
      <c r="C135" t="s">
        <v>125</v>
      </c>
      <c r="D135" t="s">
        <v>855</v>
      </c>
      <c r="E135" t="s">
        <v>856</v>
      </c>
      <c r="F135" t="s">
        <v>17</v>
      </c>
      <c r="G135">
        <v>0</v>
      </c>
    </row>
    <row r="136" spans="1:13" x14ac:dyDescent="0.25">
      <c r="A136" t="s">
        <v>857</v>
      </c>
      <c r="B136">
        <v>639</v>
      </c>
      <c r="C136" t="s">
        <v>125</v>
      </c>
      <c r="D136" t="s">
        <v>858</v>
      </c>
      <c r="E136" t="s">
        <v>206</v>
      </c>
      <c r="F136" t="s">
        <v>17</v>
      </c>
      <c r="G136">
        <v>0</v>
      </c>
    </row>
    <row r="137" spans="1:13" x14ac:dyDescent="0.25">
      <c r="A137" t="s">
        <v>859</v>
      </c>
      <c r="B137">
        <v>614</v>
      </c>
      <c r="C137" t="s">
        <v>125</v>
      </c>
      <c r="D137" t="s">
        <v>860</v>
      </c>
      <c r="E137" t="s">
        <v>214</v>
      </c>
      <c r="F137" t="s">
        <v>17</v>
      </c>
      <c r="G137">
        <v>0</v>
      </c>
    </row>
    <row r="138" spans="1:13" x14ac:dyDescent="0.25">
      <c r="A138" t="s">
        <v>861</v>
      </c>
      <c r="B138">
        <v>411</v>
      </c>
      <c r="C138" t="s">
        <v>125</v>
      </c>
      <c r="D138" t="s">
        <v>862</v>
      </c>
      <c r="E138" t="s">
        <v>382</v>
      </c>
      <c r="F138" t="s">
        <v>17</v>
      </c>
      <c r="G138">
        <v>0</v>
      </c>
    </row>
    <row r="139" spans="1:13" x14ac:dyDescent="0.25">
      <c r="A139" t="s">
        <v>863</v>
      </c>
      <c r="B139">
        <v>361</v>
      </c>
      <c r="C139" t="s">
        <v>125</v>
      </c>
      <c r="D139" t="s">
        <v>864</v>
      </c>
      <c r="E139" t="s">
        <v>235</v>
      </c>
      <c r="F139" t="s">
        <v>17</v>
      </c>
      <c r="G139">
        <v>0</v>
      </c>
    </row>
    <row r="140" spans="1:13" x14ac:dyDescent="0.25">
      <c r="A140" t="s">
        <v>865</v>
      </c>
      <c r="B140">
        <v>133</v>
      </c>
      <c r="C140" t="s">
        <v>125</v>
      </c>
      <c r="D140" t="s">
        <v>866</v>
      </c>
      <c r="E140" t="s">
        <v>341</v>
      </c>
      <c r="F140" t="s">
        <v>17</v>
      </c>
      <c r="G140">
        <v>0</v>
      </c>
    </row>
    <row r="141" spans="1:13" x14ac:dyDescent="0.25">
      <c r="A141" t="s">
        <v>867</v>
      </c>
      <c r="B141">
        <v>68</v>
      </c>
      <c r="C141" t="s">
        <v>125</v>
      </c>
      <c r="D141" t="s">
        <v>868</v>
      </c>
      <c r="E141" t="s">
        <v>815</v>
      </c>
      <c r="F141" t="s">
        <v>17</v>
      </c>
      <c r="G141">
        <v>0</v>
      </c>
    </row>
    <row r="142" spans="1:13" x14ac:dyDescent="0.25">
      <c r="A142" t="s">
        <v>869</v>
      </c>
      <c r="B142">
        <v>19052</v>
      </c>
      <c r="C142" t="s">
        <v>39</v>
      </c>
      <c r="D142" t="s">
        <v>870</v>
      </c>
      <c r="E142" t="s">
        <v>206</v>
      </c>
      <c r="F142" t="s">
        <v>17</v>
      </c>
      <c r="G142">
        <v>0</v>
      </c>
      <c r="J142" t="s">
        <v>871</v>
      </c>
      <c r="M142" t="s">
        <v>872</v>
      </c>
    </row>
    <row r="143" spans="1:13" x14ac:dyDescent="0.25">
      <c r="A143" t="s">
        <v>873</v>
      </c>
      <c r="B143">
        <v>7790</v>
      </c>
      <c r="C143" t="s">
        <v>39</v>
      </c>
      <c r="D143" t="s">
        <v>874</v>
      </c>
      <c r="E143" t="s">
        <v>875</v>
      </c>
      <c r="F143" t="s">
        <v>17</v>
      </c>
      <c r="G143">
        <v>0</v>
      </c>
    </row>
    <row r="144" spans="1:13" x14ac:dyDescent="0.25">
      <c r="A144" t="s">
        <v>876</v>
      </c>
      <c r="B144">
        <v>7659</v>
      </c>
      <c r="C144" t="s">
        <v>39</v>
      </c>
      <c r="D144" t="s">
        <v>877</v>
      </c>
      <c r="E144" t="s">
        <v>878</v>
      </c>
      <c r="F144" t="s">
        <v>17</v>
      </c>
      <c r="G144">
        <v>0</v>
      </c>
    </row>
    <row r="145" spans="1:13" x14ac:dyDescent="0.25">
      <c r="A145" t="s">
        <v>879</v>
      </c>
      <c r="B145">
        <v>4874</v>
      </c>
      <c r="C145" t="s">
        <v>39</v>
      </c>
      <c r="D145" t="s">
        <v>880</v>
      </c>
      <c r="E145" t="s">
        <v>563</v>
      </c>
      <c r="F145" t="s">
        <v>17</v>
      </c>
      <c r="G145">
        <v>0</v>
      </c>
    </row>
    <row r="146" spans="1:13" x14ac:dyDescent="0.25">
      <c r="A146" t="s">
        <v>881</v>
      </c>
      <c r="B146">
        <v>11226</v>
      </c>
      <c r="C146" t="s">
        <v>500</v>
      </c>
      <c r="D146" t="s">
        <v>882</v>
      </c>
      <c r="E146" t="s">
        <v>660</v>
      </c>
      <c r="F146" t="s">
        <v>17</v>
      </c>
      <c r="G146">
        <v>0</v>
      </c>
      <c r="M146" t="s">
        <v>883</v>
      </c>
    </row>
    <row r="147" spans="1:13" x14ac:dyDescent="0.25">
      <c r="A147" t="s">
        <v>884</v>
      </c>
      <c r="B147">
        <v>7457</v>
      </c>
      <c r="C147" t="s">
        <v>500</v>
      </c>
      <c r="D147" t="s">
        <v>885</v>
      </c>
      <c r="E147" t="s">
        <v>155</v>
      </c>
      <c r="F147" t="s">
        <v>17</v>
      </c>
      <c r="G147">
        <v>0</v>
      </c>
    </row>
    <row r="148" spans="1:13" x14ac:dyDescent="0.25">
      <c r="A148" t="s">
        <v>886</v>
      </c>
      <c r="B148">
        <v>4439</v>
      </c>
      <c r="C148" t="s">
        <v>500</v>
      </c>
      <c r="D148" t="s">
        <v>887</v>
      </c>
      <c r="E148" t="s">
        <v>119</v>
      </c>
      <c r="F148" t="s">
        <v>17</v>
      </c>
      <c r="G148">
        <v>0</v>
      </c>
    </row>
    <row r="149" spans="1:13" x14ac:dyDescent="0.25">
      <c r="A149" t="s">
        <v>888</v>
      </c>
      <c r="B149">
        <v>2035</v>
      </c>
      <c r="C149" t="s">
        <v>500</v>
      </c>
      <c r="D149" t="s">
        <v>889</v>
      </c>
      <c r="E149" t="s">
        <v>694</v>
      </c>
      <c r="F149" t="s">
        <v>17</v>
      </c>
      <c r="G149">
        <v>0</v>
      </c>
    </row>
    <row r="150" spans="1:13" x14ac:dyDescent="0.25">
      <c r="A150" t="s">
        <v>890</v>
      </c>
      <c r="B150">
        <v>1562</v>
      </c>
      <c r="C150" t="s">
        <v>500</v>
      </c>
      <c r="D150" t="s">
        <v>891</v>
      </c>
      <c r="E150" t="s">
        <v>206</v>
      </c>
      <c r="F150" t="s">
        <v>17</v>
      </c>
      <c r="G150">
        <v>0</v>
      </c>
    </row>
    <row r="151" spans="1:13" x14ac:dyDescent="0.25">
      <c r="A151" t="s">
        <v>892</v>
      </c>
      <c r="B151">
        <v>684</v>
      </c>
      <c r="C151" t="s">
        <v>500</v>
      </c>
      <c r="D151" t="s">
        <v>893</v>
      </c>
      <c r="E151" t="s">
        <v>750</v>
      </c>
      <c r="F151" t="s">
        <v>17</v>
      </c>
      <c r="G151">
        <v>0</v>
      </c>
    </row>
    <row r="152" spans="1:13" x14ac:dyDescent="0.25">
      <c r="A152" t="s">
        <v>894</v>
      </c>
      <c r="B152">
        <v>348</v>
      </c>
      <c r="C152" t="s">
        <v>500</v>
      </c>
      <c r="D152" t="s">
        <v>895</v>
      </c>
      <c r="E152" t="s">
        <v>896</v>
      </c>
      <c r="F152" t="s">
        <v>17</v>
      </c>
      <c r="G152">
        <v>0</v>
      </c>
    </row>
    <row r="153" spans="1:13" x14ac:dyDescent="0.25">
      <c r="A153" t="s">
        <v>897</v>
      </c>
      <c r="B153">
        <v>10326</v>
      </c>
      <c r="C153" t="s">
        <v>102</v>
      </c>
      <c r="D153" t="s">
        <v>898</v>
      </c>
      <c r="E153" t="s">
        <v>899</v>
      </c>
      <c r="F153" t="s">
        <v>17</v>
      </c>
      <c r="G153">
        <v>0</v>
      </c>
      <c r="J153" t="s">
        <v>900</v>
      </c>
      <c r="M153" t="s">
        <v>901</v>
      </c>
    </row>
    <row r="154" spans="1:13" x14ac:dyDescent="0.25">
      <c r="A154" t="s">
        <v>902</v>
      </c>
      <c r="B154">
        <v>8212</v>
      </c>
      <c r="C154" t="s">
        <v>102</v>
      </c>
      <c r="D154" t="s">
        <v>903</v>
      </c>
      <c r="E154" t="s">
        <v>904</v>
      </c>
      <c r="F154" t="s">
        <v>17</v>
      </c>
      <c r="G154">
        <v>0</v>
      </c>
    </row>
    <row r="155" spans="1:13" x14ac:dyDescent="0.25">
      <c r="A155" t="s">
        <v>905</v>
      </c>
      <c r="B155">
        <v>2544</v>
      </c>
      <c r="C155" t="s">
        <v>102</v>
      </c>
      <c r="D155" t="s">
        <v>906</v>
      </c>
      <c r="E155" t="s">
        <v>382</v>
      </c>
      <c r="F155" t="s">
        <v>17</v>
      </c>
      <c r="G155">
        <v>0</v>
      </c>
    </row>
    <row r="156" spans="1:13" x14ac:dyDescent="0.25">
      <c r="A156" t="s">
        <v>907</v>
      </c>
      <c r="B156">
        <v>1779</v>
      </c>
      <c r="C156" t="s">
        <v>102</v>
      </c>
      <c r="D156" t="s">
        <v>908</v>
      </c>
      <c r="E156" t="s">
        <v>909</v>
      </c>
      <c r="F156" t="s">
        <v>17</v>
      </c>
      <c r="G156">
        <v>0</v>
      </c>
    </row>
    <row r="157" spans="1:13" x14ac:dyDescent="0.25">
      <c r="A157" t="s">
        <v>910</v>
      </c>
      <c r="B157">
        <v>1050</v>
      </c>
      <c r="C157" t="s">
        <v>102</v>
      </c>
      <c r="D157" t="s">
        <v>911</v>
      </c>
      <c r="E157" t="s">
        <v>214</v>
      </c>
      <c r="F157" t="s">
        <v>17</v>
      </c>
      <c r="G157">
        <v>0</v>
      </c>
    </row>
    <row r="158" spans="1:13" x14ac:dyDescent="0.25">
      <c r="A158" t="s">
        <v>912</v>
      </c>
      <c r="B158">
        <v>1001</v>
      </c>
      <c r="C158" t="s">
        <v>102</v>
      </c>
      <c r="D158" t="s">
        <v>913</v>
      </c>
      <c r="E158" t="s">
        <v>694</v>
      </c>
      <c r="F158" t="s">
        <v>17</v>
      </c>
      <c r="G158">
        <v>0</v>
      </c>
    </row>
    <row r="159" spans="1:13" x14ac:dyDescent="0.25">
      <c r="A159" t="s">
        <v>914</v>
      </c>
      <c r="B159">
        <v>642</v>
      </c>
      <c r="C159" t="s">
        <v>102</v>
      </c>
      <c r="D159" t="s">
        <v>915</v>
      </c>
      <c r="E159" t="s">
        <v>815</v>
      </c>
      <c r="F159" t="s">
        <v>17</v>
      </c>
      <c r="G159">
        <v>0</v>
      </c>
    </row>
    <row r="160" spans="1:13" x14ac:dyDescent="0.25">
      <c r="A160" t="s">
        <v>916</v>
      </c>
      <c r="B160">
        <v>361</v>
      </c>
      <c r="C160" t="s">
        <v>102</v>
      </c>
      <c r="D160" t="s">
        <v>917</v>
      </c>
      <c r="E160" t="s">
        <v>807</v>
      </c>
      <c r="F160" t="s">
        <v>17</v>
      </c>
      <c r="G160">
        <v>0</v>
      </c>
    </row>
    <row r="161" spans="1:7" x14ac:dyDescent="0.25">
      <c r="A161" t="s">
        <v>918</v>
      </c>
      <c r="B161">
        <v>328</v>
      </c>
      <c r="C161" t="s">
        <v>102</v>
      </c>
      <c r="D161" t="s">
        <v>919</v>
      </c>
      <c r="E161" t="s">
        <v>235</v>
      </c>
      <c r="F161" t="s">
        <v>17</v>
      </c>
      <c r="G161">
        <v>0</v>
      </c>
    </row>
    <row r="162" spans="1:7" x14ac:dyDescent="0.25">
      <c r="A162" t="s">
        <v>920</v>
      </c>
      <c r="B162">
        <v>17708</v>
      </c>
      <c r="C162" t="s">
        <v>479</v>
      </c>
      <c r="D162" t="s">
        <v>921</v>
      </c>
      <c r="E162" t="s">
        <v>922</v>
      </c>
      <c r="F162" t="s">
        <v>17</v>
      </c>
      <c r="G162">
        <v>0</v>
      </c>
    </row>
    <row r="163" spans="1:7" x14ac:dyDescent="0.25">
      <c r="A163" t="s">
        <v>923</v>
      </c>
      <c r="B163">
        <v>7080</v>
      </c>
      <c r="C163" t="s">
        <v>479</v>
      </c>
      <c r="D163" t="s">
        <v>924</v>
      </c>
      <c r="E163" t="s">
        <v>925</v>
      </c>
      <c r="F163" t="s">
        <v>17</v>
      </c>
      <c r="G163">
        <v>0</v>
      </c>
    </row>
    <row r="164" spans="1:7" x14ac:dyDescent="0.25">
      <c r="A164" t="s">
        <v>926</v>
      </c>
      <c r="B164">
        <v>2973</v>
      </c>
      <c r="C164" t="s">
        <v>479</v>
      </c>
      <c r="D164" t="s">
        <v>927</v>
      </c>
      <c r="E164" t="s">
        <v>494</v>
      </c>
      <c r="F164" t="s">
        <v>17</v>
      </c>
      <c r="G164">
        <v>0</v>
      </c>
    </row>
    <row r="165" spans="1:7" x14ac:dyDescent="0.25">
      <c r="A165" t="s">
        <v>928</v>
      </c>
      <c r="B165">
        <v>2127</v>
      </c>
      <c r="C165" t="s">
        <v>479</v>
      </c>
      <c r="D165" t="s">
        <v>929</v>
      </c>
      <c r="E165" t="s">
        <v>382</v>
      </c>
      <c r="F165" t="s">
        <v>17</v>
      </c>
      <c r="G165">
        <v>0</v>
      </c>
    </row>
    <row r="166" spans="1:7" x14ac:dyDescent="0.25">
      <c r="A166" t="s">
        <v>930</v>
      </c>
      <c r="B166">
        <v>1734</v>
      </c>
      <c r="C166" t="s">
        <v>479</v>
      </c>
      <c r="D166" t="s">
        <v>931</v>
      </c>
      <c r="E166" t="s">
        <v>932</v>
      </c>
      <c r="F166" t="s">
        <v>17</v>
      </c>
      <c r="G166">
        <v>0</v>
      </c>
    </row>
    <row r="167" spans="1:7" x14ac:dyDescent="0.25">
      <c r="A167" t="s">
        <v>933</v>
      </c>
      <c r="B167">
        <v>1608</v>
      </c>
      <c r="C167" t="s">
        <v>479</v>
      </c>
      <c r="D167" t="s">
        <v>934</v>
      </c>
      <c r="E167" t="s">
        <v>812</v>
      </c>
      <c r="F167" t="s">
        <v>17</v>
      </c>
      <c r="G167">
        <v>0</v>
      </c>
    </row>
    <row r="168" spans="1:7" x14ac:dyDescent="0.25">
      <c r="A168" t="s">
        <v>935</v>
      </c>
      <c r="B168">
        <v>1022</v>
      </c>
      <c r="C168" t="s">
        <v>479</v>
      </c>
      <c r="D168" t="s">
        <v>936</v>
      </c>
      <c r="E168" t="s">
        <v>155</v>
      </c>
      <c r="F168" t="s">
        <v>17</v>
      </c>
      <c r="G168">
        <v>0</v>
      </c>
    </row>
    <row r="169" spans="1:7" x14ac:dyDescent="0.25">
      <c r="A169" t="s">
        <v>937</v>
      </c>
      <c r="B169">
        <v>637</v>
      </c>
      <c r="C169" t="s">
        <v>479</v>
      </c>
      <c r="D169" t="s">
        <v>938</v>
      </c>
      <c r="E169" t="s">
        <v>743</v>
      </c>
      <c r="F169" t="s">
        <v>17</v>
      </c>
      <c r="G169">
        <v>0</v>
      </c>
    </row>
    <row r="170" spans="1:7" x14ac:dyDescent="0.25">
      <c r="A170" t="s">
        <v>939</v>
      </c>
      <c r="B170">
        <v>537</v>
      </c>
      <c r="C170" t="s">
        <v>479</v>
      </c>
      <c r="D170" t="s">
        <v>940</v>
      </c>
      <c r="E170" t="s">
        <v>96</v>
      </c>
      <c r="F170" t="s">
        <v>17</v>
      </c>
      <c r="G170">
        <v>0</v>
      </c>
    </row>
    <row r="171" spans="1:7" x14ac:dyDescent="0.25">
      <c r="A171" t="s">
        <v>941</v>
      </c>
      <c r="B171">
        <v>482</v>
      </c>
      <c r="C171" t="s">
        <v>479</v>
      </c>
      <c r="D171" t="s">
        <v>942</v>
      </c>
      <c r="E171" t="s">
        <v>804</v>
      </c>
      <c r="F171" t="s">
        <v>17</v>
      </c>
      <c r="G171">
        <v>0</v>
      </c>
    </row>
    <row r="172" spans="1:7" x14ac:dyDescent="0.25">
      <c r="A172" t="s">
        <v>943</v>
      </c>
      <c r="B172">
        <v>345</v>
      </c>
      <c r="C172" t="s">
        <v>479</v>
      </c>
      <c r="D172" t="s">
        <v>944</v>
      </c>
      <c r="E172" t="s">
        <v>945</v>
      </c>
      <c r="F172" t="s">
        <v>17</v>
      </c>
      <c r="G172">
        <v>0</v>
      </c>
    </row>
    <row r="173" spans="1:7" x14ac:dyDescent="0.25">
      <c r="A173" t="s">
        <v>946</v>
      </c>
      <c r="B173">
        <v>300</v>
      </c>
      <c r="C173" t="s">
        <v>479</v>
      </c>
      <c r="D173" t="s">
        <v>947</v>
      </c>
      <c r="E173" t="s">
        <v>948</v>
      </c>
      <c r="F173" t="s">
        <v>17</v>
      </c>
      <c r="G173">
        <v>0</v>
      </c>
    </row>
    <row r="174" spans="1:7" x14ac:dyDescent="0.25">
      <c r="A174" t="s">
        <v>949</v>
      </c>
      <c r="B174">
        <v>179</v>
      </c>
      <c r="C174" t="s">
        <v>479</v>
      </c>
      <c r="D174" t="s">
        <v>950</v>
      </c>
      <c r="E174" t="s">
        <v>206</v>
      </c>
      <c r="F174" t="s">
        <v>17</v>
      </c>
      <c r="G174">
        <v>0</v>
      </c>
    </row>
    <row r="175" spans="1:7" x14ac:dyDescent="0.25">
      <c r="A175" t="s">
        <v>951</v>
      </c>
      <c r="B175">
        <v>93</v>
      </c>
      <c r="C175" t="s">
        <v>479</v>
      </c>
      <c r="D175" t="s">
        <v>952</v>
      </c>
      <c r="E175" t="s">
        <v>953</v>
      </c>
      <c r="F175" t="s">
        <v>17</v>
      </c>
      <c r="G175">
        <v>0</v>
      </c>
    </row>
    <row r="176" spans="1:7" x14ac:dyDescent="0.25">
      <c r="A176" t="s">
        <v>954</v>
      </c>
      <c r="B176">
        <v>5380</v>
      </c>
      <c r="C176" t="s">
        <v>47</v>
      </c>
      <c r="D176" t="s">
        <v>955</v>
      </c>
      <c r="E176" t="s">
        <v>956</v>
      </c>
      <c r="F176" t="s">
        <v>17</v>
      </c>
      <c r="G176">
        <v>0</v>
      </c>
    </row>
    <row r="177" spans="1:7" x14ac:dyDescent="0.25">
      <c r="A177" t="s">
        <v>957</v>
      </c>
      <c r="B177">
        <v>4109</v>
      </c>
      <c r="C177" t="s">
        <v>47</v>
      </c>
      <c r="D177" t="s">
        <v>958</v>
      </c>
      <c r="E177" t="s">
        <v>815</v>
      </c>
      <c r="F177" t="s">
        <v>17</v>
      </c>
      <c r="G177">
        <v>0</v>
      </c>
    </row>
    <row r="178" spans="1:7" x14ac:dyDescent="0.25">
      <c r="A178" t="s">
        <v>959</v>
      </c>
      <c r="B178">
        <v>1947</v>
      </c>
      <c r="C178" t="s">
        <v>47</v>
      </c>
      <c r="D178" t="s">
        <v>960</v>
      </c>
      <c r="E178" t="s">
        <v>961</v>
      </c>
      <c r="F178" t="s">
        <v>17</v>
      </c>
      <c r="G178">
        <v>0</v>
      </c>
    </row>
    <row r="179" spans="1:7" x14ac:dyDescent="0.25">
      <c r="A179" t="s">
        <v>962</v>
      </c>
      <c r="B179">
        <v>1245</v>
      </c>
      <c r="C179" t="s">
        <v>47</v>
      </c>
      <c r="D179" t="s">
        <v>963</v>
      </c>
      <c r="E179" t="s">
        <v>953</v>
      </c>
      <c r="F179" t="s">
        <v>17</v>
      </c>
      <c r="G179">
        <v>0</v>
      </c>
    </row>
    <row r="180" spans="1:7" x14ac:dyDescent="0.25">
      <c r="A180" t="s">
        <v>964</v>
      </c>
      <c r="B180">
        <v>5786</v>
      </c>
      <c r="C180" t="s">
        <v>176</v>
      </c>
      <c r="D180" t="s">
        <v>965</v>
      </c>
      <c r="E180" t="s">
        <v>214</v>
      </c>
      <c r="F180" t="s">
        <v>17</v>
      </c>
      <c r="G180">
        <v>0</v>
      </c>
    </row>
    <row r="181" spans="1:7" x14ac:dyDescent="0.25">
      <c r="A181" t="s">
        <v>966</v>
      </c>
      <c r="B181">
        <v>4676</v>
      </c>
      <c r="C181" t="s">
        <v>176</v>
      </c>
      <c r="D181" t="s">
        <v>967</v>
      </c>
      <c r="E181" t="s">
        <v>743</v>
      </c>
      <c r="F181" t="s">
        <v>17</v>
      </c>
      <c r="G181">
        <v>0</v>
      </c>
    </row>
    <row r="182" spans="1:7" x14ac:dyDescent="0.25">
      <c r="A182" t="s">
        <v>968</v>
      </c>
      <c r="B182">
        <v>3188</v>
      </c>
      <c r="C182" t="s">
        <v>176</v>
      </c>
      <c r="D182" t="s">
        <v>969</v>
      </c>
      <c r="E182" t="s">
        <v>875</v>
      </c>
      <c r="F182" t="s">
        <v>17</v>
      </c>
      <c r="G182">
        <v>0</v>
      </c>
    </row>
    <row r="183" spans="1:7" x14ac:dyDescent="0.25">
      <c r="A183" t="s">
        <v>970</v>
      </c>
      <c r="B183">
        <v>2753</v>
      </c>
      <c r="C183" t="s">
        <v>176</v>
      </c>
      <c r="D183" t="s">
        <v>971</v>
      </c>
      <c r="E183" t="s">
        <v>815</v>
      </c>
      <c r="F183" t="s">
        <v>17</v>
      </c>
      <c r="G183">
        <v>0</v>
      </c>
    </row>
    <row r="184" spans="1:7" x14ac:dyDescent="0.25">
      <c r="A184" t="s">
        <v>972</v>
      </c>
      <c r="B184">
        <v>1879</v>
      </c>
      <c r="C184" t="s">
        <v>176</v>
      </c>
      <c r="D184" t="s">
        <v>973</v>
      </c>
      <c r="E184" t="s">
        <v>206</v>
      </c>
      <c r="F184" t="s">
        <v>17</v>
      </c>
      <c r="G184">
        <v>0</v>
      </c>
    </row>
    <row r="185" spans="1:7" x14ac:dyDescent="0.25">
      <c r="A185" t="s">
        <v>974</v>
      </c>
      <c r="B185">
        <v>1579</v>
      </c>
      <c r="C185" t="s">
        <v>176</v>
      </c>
      <c r="D185" t="s">
        <v>975</v>
      </c>
      <c r="E185" t="s">
        <v>976</v>
      </c>
      <c r="F185" t="s">
        <v>17</v>
      </c>
      <c r="G185">
        <v>0</v>
      </c>
    </row>
    <row r="186" spans="1:7" x14ac:dyDescent="0.25">
      <c r="A186" t="s">
        <v>977</v>
      </c>
      <c r="B186">
        <v>1173</v>
      </c>
      <c r="C186" t="s">
        <v>176</v>
      </c>
      <c r="D186" t="s">
        <v>978</v>
      </c>
      <c r="E186" t="s">
        <v>127</v>
      </c>
      <c r="F186" t="s">
        <v>17</v>
      </c>
      <c r="G186">
        <v>0</v>
      </c>
    </row>
    <row r="187" spans="1:7" x14ac:dyDescent="0.25">
      <c r="A187" t="s">
        <v>979</v>
      </c>
      <c r="B187">
        <v>9301</v>
      </c>
      <c r="C187" t="s">
        <v>212</v>
      </c>
      <c r="D187" t="s">
        <v>980</v>
      </c>
      <c r="E187" t="s">
        <v>155</v>
      </c>
      <c r="F187" t="s">
        <v>17</v>
      </c>
      <c r="G187">
        <v>0</v>
      </c>
    </row>
    <row r="188" spans="1:7" x14ac:dyDescent="0.25">
      <c r="A188" t="s">
        <v>981</v>
      </c>
      <c r="B188">
        <v>6144</v>
      </c>
      <c r="C188" t="s">
        <v>212</v>
      </c>
      <c r="D188" t="s">
        <v>982</v>
      </c>
      <c r="E188" t="s">
        <v>925</v>
      </c>
      <c r="F188" t="s">
        <v>17</v>
      </c>
      <c r="G188">
        <v>0</v>
      </c>
    </row>
    <row r="189" spans="1:7" x14ac:dyDescent="0.25">
      <c r="A189" t="s">
        <v>983</v>
      </c>
      <c r="B189">
        <v>5790</v>
      </c>
      <c r="C189" t="s">
        <v>212</v>
      </c>
      <c r="D189" t="s">
        <v>984</v>
      </c>
      <c r="E189" t="s">
        <v>985</v>
      </c>
      <c r="F189" t="s">
        <v>17</v>
      </c>
      <c r="G189">
        <v>0</v>
      </c>
    </row>
    <row r="190" spans="1:7" x14ac:dyDescent="0.25">
      <c r="A190" t="s">
        <v>986</v>
      </c>
      <c r="B190">
        <v>5387</v>
      </c>
      <c r="C190" t="s">
        <v>212</v>
      </c>
      <c r="D190" t="s">
        <v>987</v>
      </c>
      <c r="E190" t="s">
        <v>494</v>
      </c>
      <c r="F190" t="s">
        <v>17</v>
      </c>
      <c r="G190">
        <v>0</v>
      </c>
    </row>
    <row r="191" spans="1:7" x14ac:dyDescent="0.25">
      <c r="A191" t="s">
        <v>988</v>
      </c>
      <c r="B191">
        <v>3388</v>
      </c>
      <c r="C191" t="s">
        <v>212</v>
      </c>
      <c r="D191" t="s">
        <v>989</v>
      </c>
      <c r="E191" t="s">
        <v>694</v>
      </c>
      <c r="F191" t="s">
        <v>17</v>
      </c>
      <c r="G191">
        <v>0</v>
      </c>
    </row>
    <row r="192" spans="1:7" x14ac:dyDescent="0.25">
      <c r="A192" t="s">
        <v>990</v>
      </c>
      <c r="B192">
        <v>2382</v>
      </c>
      <c r="C192" t="s">
        <v>212</v>
      </c>
      <c r="D192" t="s">
        <v>991</v>
      </c>
      <c r="E192" t="s">
        <v>807</v>
      </c>
      <c r="F192" t="s">
        <v>17</v>
      </c>
      <c r="G192">
        <v>0</v>
      </c>
    </row>
    <row r="193" spans="1:13" x14ac:dyDescent="0.25">
      <c r="A193" t="s">
        <v>992</v>
      </c>
      <c r="B193">
        <v>1521</v>
      </c>
      <c r="C193" t="s">
        <v>212</v>
      </c>
      <c r="D193" t="s">
        <v>993</v>
      </c>
      <c r="E193" t="s">
        <v>206</v>
      </c>
      <c r="F193" t="s">
        <v>17</v>
      </c>
      <c r="G193">
        <v>0</v>
      </c>
    </row>
    <row r="194" spans="1:13" x14ac:dyDescent="0.25">
      <c r="A194" t="s">
        <v>994</v>
      </c>
      <c r="B194">
        <v>1365</v>
      </c>
      <c r="C194" t="s">
        <v>212</v>
      </c>
      <c r="D194" t="s">
        <v>995</v>
      </c>
      <c r="E194" t="s">
        <v>875</v>
      </c>
      <c r="F194" t="s">
        <v>17</v>
      </c>
      <c r="G194">
        <v>0</v>
      </c>
    </row>
    <row r="195" spans="1:13" x14ac:dyDescent="0.25">
      <c r="A195" t="s">
        <v>996</v>
      </c>
      <c r="B195">
        <v>7585</v>
      </c>
      <c r="C195" t="s">
        <v>617</v>
      </c>
      <c r="D195" t="s">
        <v>997</v>
      </c>
      <c r="E195" t="s">
        <v>998</v>
      </c>
      <c r="F195" t="s">
        <v>17</v>
      </c>
      <c r="G195">
        <v>0</v>
      </c>
    </row>
    <row r="196" spans="1:13" x14ac:dyDescent="0.25">
      <c r="A196" t="s">
        <v>999</v>
      </c>
      <c r="B196">
        <v>824</v>
      </c>
      <c r="C196" t="s">
        <v>617</v>
      </c>
      <c r="D196" t="s">
        <v>1000</v>
      </c>
      <c r="E196" t="s">
        <v>743</v>
      </c>
      <c r="F196" t="s">
        <v>17</v>
      </c>
      <c r="G196">
        <v>0</v>
      </c>
    </row>
    <row r="197" spans="1:13" x14ac:dyDescent="0.25">
      <c r="A197" t="s">
        <v>1001</v>
      </c>
      <c r="B197">
        <v>27702</v>
      </c>
      <c r="C197" t="s">
        <v>651</v>
      </c>
      <c r="D197" t="s">
        <v>1002</v>
      </c>
      <c r="E197" t="s">
        <v>835</v>
      </c>
      <c r="F197" t="s">
        <v>17</v>
      </c>
      <c r="G197">
        <v>0</v>
      </c>
      <c r="J197" t="s">
        <v>1003</v>
      </c>
      <c r="M197" t="s">
        <v>1004</v>
      </c>
    </row>
    <row r="198" spans="1:13" x14ac:dyDescent="0.25">
      <c r="A198" t="s">
        <v>1005</v>
      </c>
      <c r="B198">
        <v>15288</v>
      </c>
      <c r="C198" t="s">
        <v>651</v>
      </c>
      <c r="D198" t="s">
        <v>1006</v>
      </c>
      <c r="E198" t="s">
        <v>214</v>
      </c>
      <c r="F198" t="s">
        <v>17</v>
      </c>
      <c r="G198">
        <v>0</v>
      </c>
      <c r="J198" t="s">
        <v>1007</v>
      </c>
      <c r="M198" t="s">
        <v>1008</v>
      </c>
    </row>
    <row r="199" spans="1:13" x14ac:dyDescent="0.25">
      <c r="A199" t="s">
        <v>1009</v>
      </c>
      <c r="B199">
        <v>11943</v>
      </c>
      <c r="C199" t="s">
        <v>651</v>
      </c>
      <c r="D199" t="s">
        <v>1010</v>
      </c>
      <c r="E199" t="s">
        <v>1011</v>
      </c>
      <c r="F199" t="s">
        <v>17</v>
      </c>
      <c r="G199">
        <v>0</v>
      </c>
    </row>
    <row r="200" spans="1:13" x14ac:dyDescent="0.25">
      <c r="A200" t="s">
        <v>1012</v>
      </c>
      <c r="B200">
        <v>6458</v>
      </c>
      <c r="C200" t="s">
        <v>347</v>
      </c>
      <c r="D200" t="s">
        <v>1013</v>
      </c>
      <c r="E200" t="s">
        <v>235</v>
      </c>
      <c r="F200" t="s">
        <v>17</v>
      </c>
      <c r="G200">
        <v>0</v>
      </c>
    </row>
    <row r="201" spans="1:13" x14ac:dyDescent="0.25">
      <c r="A201" t="s">
        <v>1014</v>
      </c>
      <c r="B201">
        <v>6165</v>
      </c>
      <c r="C201" t="s">
        <v>347</v>
      </c>
      <c r="D201" t="s">
        <v>1015</v>
      </c>
      <c r="E201" t="s">
        <v>1016</v>
      </c>
      <c r="F201" t="s">
        <v>17</v>
      </c>
      <c r="G201">
        <v>0</v>
      </c>
    </row>
    <row r="202" spans="1:13" x14ac:dyDescent="0.25">
      <c r="A202" t="s">
        <v>1017</v>
      </c>
      <c r="B202">
        <v>4321</v>
      </c>
      <c r="C202" t="s">
        <v>347</v>
      </c>
      <c r="D202" t="s">
        <v>1018</v>
      </c>
      <c r="E202" t="s">
        <v>835</v>
      </c>
      <c r="F202" t="s">
        <v>17</v>
      </c>
      <c r="G202">
        <v>0</v>
      </c>
    </row>
    <row r="203" spans="1:13" x14ac:dyDescent="0.25">
      <c r="A203" t="s">
        <v>1019</v>
      </c>
      <c r="B203">
        <v>3322</v>
      </c>
      <c r="C203" t="s">
        <v>347</v>
      </c>
      <c r="D203" t="s">
        <v>1020</v>
      </c>
      <c r="E203" t="s">
        <v>660</v>
      </c>
      <c r="F203" t="s">
        <v>17</v>
      </c>
      <c r="G203">
        <v>0</v>
      </c>
    </row>
    <row r="204" spans="1:13" x14ac:dyDescent="0.25">
      <c r="A204" t="s">
        <v>1021</v>
      </c>
      <c r="B204">
        <v>5</v>
      </c>
      <c r="C204" t="s">
        <v>347</v>
      </c>
      <c r="D204" t="s">
        <v>1022</v>
      </c>
      <c r="E204" t="s">
        <v>206</v>
      </c>
      <c r="F204" t="s">
        <v>17</v>
      </c>
      <c r="G204">
        <v>0</v>
      </c>
    </row>
    <row r="205" spans="1:13" x14ac:dyDescent="0.25">
      <c r="A205" t="s">
        <v>1023</v>
      </c>
      <c r="B205">
        <v>3</v>
      </c>
      <c r="C205" t="s">
        <v>347</v>
      </c>
      <c r="D205" t="s">
        <v>1024</v>
      </c>
      <c r="E205" t="s">
        <v>953</v>
      </c>
      <c r="F205" t="s">
        <v>17</v>
      </c>
      <c r="G205">
        <v>0</v>
      </c>
    </row>
    <row r="206" spans="1:13" x14ac:dyDescent="0.25">
      <c r="A206" t="s">
        <v>1025</v>
      </c>
      <c r="B206">
        <v>3</v>
      </c>
      <c r="C206" t="s">
        <v>347</v>
      </c>
      <c r="D206" t="s">
        <v>1026</v>
      </c>
      <c r="E206" t="s">
        <v>214</v>
      </c>
      <c r="F206" t="s">
        <v>17</v>
      </c>
      <c r="G206">
        <v>0</v>
      </c>
    </row>
    <row r="207" spans="1:13" x14ac:dyDescent="0.25">
      <c r="A207" t="s">
        <v>1027</v>
      </c>
      <c r="B207">
        <v>7299</v>
      </c>
      <c r="C207" t="s">
        <v>355</v>
      </c>
      <c r="D207" t="s">
        <v>1028</v>
      </c>
      <c r="E207" t="s">
        <v>743</v>
      </c>
      <c r="F207" t="s">
        <v>17</v>
      </c>
      <c r="G207">
        <v>0</v>
      </c>
    </row>
    <row r="208" spans="1:13" x14ac:dyDescent="0.25">
      <c r="A208" t="s">
        <v>1029</v>
      </c>
      <c r="B208">
        <v>5936</v>
      </c>
      <c r="C208" t="s">
        <v>355</v>
      </c>
      <c r="D208" t="s">
        <v>1030</v>
      </c>
      <c r="E208" t="s">
        <v>473</v>
      </c>
      <c r="F208" t="s">
        <v>17</v>
      </c>
      <c r="G208">
        <v>0</v>
      </c>
    </row>
    <row r="209" spans="1:7" x14ac:dyDescent="0.25">
      <c r="A209" t="s">
        <v>1031</v>
      </c>
      <c r="B209">
        <v>1458</v>
      </c>
      <c r="C209" t="s">
        <v>355</v>
      </c>
      <c r="D209" t="s">
        <v>1032</v>
      </c>
      <c r="E209" t="s">
        <v>1033</v>
      </c>
      <c r="F209" t="s">
        <v>17</v>
      </c>
      <c r="G209">
        <v>0</v>
      </c>
    </row>
    <row r="210" spans="1:7" x14ac:dyDescent="0.25">
      <c r="A210" t="s">
        <v>1034</v>
      </c>
      <c r="B210">
        <v>4758</v>
      </c>
      <c r="C210" t="s">
        <v>168</v>
      </c>
      <c r="D210" t="s">
        <v>1035</v>
      </c>
      <c r="E210" t="s">
        <v>1036</v>
      </c>
      <c r="F210" t="s">
        <v>17</v>
      </c>
      <c r="G210">
        <v>0</v>
      </c>
    </row>
    <row r="211" spans="1:7" x14ac:dyDescent="0.25">
      <c r="A211" t="s">
        <v>1037</v>
      </c>
      <c r="B211">
        <v>3030</v>
      </c>
      <c r="C211" t="s">
        <v>168</v>
      </c>
      <c r="D211" t="s">
        <v>1038</v>
      </c>
      <c r="E211" t="s">
        <v>382</v>
      </c>
      <c r="F211" t="s">
        <v>17</v>
      </c>
      <c r="G211">
        <v>0</v>
      </c>
    </row>
    <row r="212" spans="1:7" x14ac:dyDescent="0.25">
      <c r="A212" t="s">
        <v>1039</v>
      </c>
      <c r="B212">
        <v>1669</v>
      </c>
      <c r="C212" t="s">
        <v>168</v>
      </c>
      <c r="D212" t="s">
        <v>1040</v>
      </c>
      <c r="E212" t="s">
        <v>155</v>
      </c>
      <c r="F212" t="s">
        <v>17</v>
      </c>
      <c r="G212">
        <v>0</v>
      </c>
    </row>
    <row r="213" spans="1:7" x14ac:dyDescent="0.25">
      <c r="A213" t="s">
        <v>1041</v>
      </c>
      <c r="B213">
        <v>953</v>
      </c>
      <c r="C213" t="s">
        <v>168</v>
      </c>
      <c r="D213" t="s">
        <v>1042</v>
      </c>
      <c r="E213" t="s">
        <v>660</v>
      </c>
      <c r="F213" t="s">
        <v>17</v>
      </c>
      <c r="G213">
        <v>0</v>
      </c>
    </row>
    <row r="214" spans="1:7" x14ac:dyDescent="0.25">
      <c r="A214" t="s">
        <v>1043</v>
      </c>
      <c r="B214">
        <v>412</v>
      </c>
      <c r="C214" t="s">
        <v>168</v>
      </c>
      <c r="D214" t="s">
        <v>1044</v>
      </c>
      <c r="E214" t="s">
        <v>341</v>
      </c>
      <c r="F214" t="s">
        <v>17</v>
      </c>
      <c r="G214">
        <v>0</v>
      </c>
    </row>
    <row r="215" spans="1:7" x14ac:dyDescent="0.25">
      <c r="A215" t="s">
        <v>1045</v>
      </c>
      <c r="B215">
        <v>8323</v>
      </c>
      <c r="C215" t="s">
        <v>388</v>
      </c>
      <c r="D215" t="s">
        <v>1046</v>
      </c>
      <c r="E215" t="s">
        <v>127</v>
      </c>
      <c r="F215" t="s">
        <v>17</v>
      </c>
      <c r="G215">
        <v>0</v>
      </c>
    </row>
    <row r="216" spans="1:7" x14ac:dyDescent="0.25">
      <c r="A216" t="s">
        <v>1047</v>
      </c>
      <c r="B216">
        <v>5697</v>
      </c>
      <c r="C216" t="s">
        <v>388</v>
      </c>
      <c r="D216" t="s">
        <v>1048</v>
      </c>
      <c r="E216" t="s">
        <v>743</v>
      </c>
      <c r="F216" t="s">
        <v>17</v>
      </c>
      <c r="G216">
        <v>0</v>
      </c>
    </row>
    <row r="217" spans="1:7" x14ac:dyDescent="0.25">
      <c r="A217" t="s">
        <v>1049</v>
      </c>
      <c r="B217">
        <v>3835</v>
      </c>
      <c r="C217" t="s">
        <v>388</v>
      </c>
      <c r="D217" t="s">
        <v>1050</v>
      </c>
      <c r="E217" t="s">
        <v>812</v>
      </c>
      <c r="F217" t="s">
        <v>17</v>
      </c>
      <c r="G217">
        <v>0</v>
      </c>
    </row>
    <row r="218" spans="1:7" x14ac:dyDescent="0.25">
      <c r="A218" t="s">
        <v>1051</v>
      </c>
      <c r="B218">
        <v>3119</v>
      </c>
      <c r="C218" t="s">
        <v>388</v>
      </c>
      <c r="D218" t="s">
        <v>1052</v>
      </c>
      <c r="E218" t="s">
        <v>953</v>
      </c>
      <c r="F218" t="s">
        <v>17</v>
      </c>
      <c r="G218">
        <v>0</v>
      </c>
    </row>
    <row r="219" spans="1:7" x14ac:dyDescent="0.25">
      <c r="A219" t="s">
        <v>1053</v>
      </c>
      <c r="B219">
        <v>2792</v>
      </c>
      <c r="C219" t="s">
        <v>388</v>
      </c>
      <c r="D219" t="s">
        <v>1054</v>
      </c>
      <c r="E219" t="s">
        <v>1055</v>
      </c>
      <c r="F219" t="s">
        <v>17</v>
      </c>
      <c r="G219">
        <v>0</v>
      </c>
    </row>
    <row r="220" spans="1:7" x14ac:dyDescent="0.25">
      <c r="A220" t="s">
        <v>1056</v>
      </c>
      <c r="B220">
        <v>2647</v>
      </c>
      <c r="C220" t="s">
        <v>388</v>
      </c>
      <c r="D220" t="s">
        <v>1057</v>
      </c>
      <c r="E220" t="s">
        <v>694</v>
      </c>
      <c r="F220" t="s">
        <v>17</v>
      </c>
      <c r="G220">
        <v>0</v>
      </c>
    </row>
    <row r="221" spans="1:7" x14ac:dyDescent="0.25">
      <c r="A221" t="s">
        <v>1058</v>
      </c>
      <c r="B221">
        <v>1193</v>
      </c>
      <c r="C221" t="s">
        <v>388</v>
      </c>
      <c r="D221" t="s">
        <v>1059</v>
      </c>
      <c r="E221" t="s">
        <v>341</v>
      </c>
      <c r="F221" t="s">
        <v>17</v>
      </c>
      <c r="G221">
        <v>0</v>
      </c>
    </row>
    <row r="222" spans="1:7" x14ac:dyDescent="0.25">
      <c r="A222" t="s">
        <v>1060</v>
      </c>
      <c r="B222">
        <v>969</v>
      </c>
      <c r="C222" t="s">
        <v>388</v>
      </c>
      <c r="D222" t="s">
        <v>1061</v>
      </c>
      <c r="E222" t="s">
        <v>206</v>
      </c>
      <c r="F222" t="s">
        <v>17</v>
      </c>
      <c r="G222">
        <v>0</v>
      </c>
    </row>
    <row r="223" spans="1:7" x14ac:dyDescent="0.25">
      <c r="A223" t="s">
        <v>1062</v>
      </c>
      <c r="B223">
        <v>6370</v>
      </c>
      <c r="C223" t="s">
        <v>22</v>
      </c>
      <c r="D223" t="s">
        <v>1063</v>
      </c>
      <c r="E223" t="s">
        <v>1064</v>
      </c>
      <c r="F223" t="s">
        <v>17</v>
      </c>
      <c r="G223">
        <v>0</v>
      </c>
    </row>
    <row r="224" spans="1:7" x14ac:dyDescent="0.25">
      <c r="A224" t="s">
        <v>1065</v>
      </c>
      <c r="B224">
        <v>4172</v>
      </c>
      <c r="C224" t="s">
        <v>22</v>
      </c>
      <c r="D224" t="s">
        <v>1066</v>
      </c>
      <c r="E224" t="s">
        <v>206</v>
      </c>
      <c r="F224" t="s">
        <v>17</v>
      </c>
      <c r="G224">
        <v>0</v>
      </c>
    </row>
    <row r="225" spans="1:13" x14ac:dyDescent="0.25">
      <c r="A225" t="s">
        <v>1067</v>
      </c>
      <c r="B225">
        <v>3944</v>
      </c>
      <c r="C225" t="s">
        <v>22</v>
      </c>
      <c r="D225" t="s">
        <v>1068</v>
      </c>
      <c r="E225" t="s">
        <v>743</v>
      </c>
      <c r="F225" t="s">
        <v>17</v>
      </c>
      <c r="G225">
        <v>0</v>
      </c>
    </row>
    <row r="226" spans="1:13" x14ac:dyDescent="0.25">
      <c r="A226" t="s">
        <v>1069</v>
      </c>
      <c r="B226">
        <v>3214</v>
      </c>
      <c r="C226" t="s">
        <v>22</v>
      </c>
      <c r="D226" t="s">
        <v>1070</v>
      </c>
      <c r="E226" t="s">
        <v>1071</v>
      </c>
      <c r="F226" t="s">
        <v>17</v>
      </c>
      <c r="G226">
        <v>0</v>
      </c>
    </row>
    <row r="227" spans="1:13" x14ac:dyDescent="0.25">
      <c r="A227" t="s">
        <v>1072</v>
      </c>
      <c r="B227">
        <v>2749</v>
      </c>
      <c r="C227" t="s">
        <v>22</v>
      </c>
      <c r="D227" t="s">
        <v>1073</v>
      </c>
      <c r="E227" t="s">
        <v>1074</v>
      </c>
      <c r="F227" t="s">
        <v>17</v>
      </c>
      <c r="G227">
        <v>0</v>
      </c>
    </row>
    <row r="228" spans="1:13" x14ac:dyDescent="0.25">
      <c r="A228" t="s">
        <v>1075</v>
      </c>
      <c r="B228">
        <v>2676</v>
      </c>
      <c r="C228" t="s">
        <v>22</v>
      </c>
      <c r="D228" t="s">
        <v>1076</v>
      </c>
      <c r="E228" t="s">
        <v>80</v>
      </c>
      <c r="F228" t="s">
        <v>17</v>
      </c>
      <c r="G228">
        <v>0</v>
      </c>
    </row>
    <row r="229" spans="1:13" x14ac:dyDescent="0.25">
      <c r="A229" t="s">
        <v>1077</v>
      </c>
      <c r="B229">
        <v>1714</v>
      </c>
      <c r="C229" t="s">
        <v>22</v>
      </c>
      <c r="D229" t="s">
        <v>1078</v>
      </c>
      <c r="E229" t="s">
        <v>563</v>
      </c>
      <c r="F229" t="s">
        <v>17</v>
      </c>
      <c r="G229">
        <v>0</v>
      </c>
    </row>
    <row r="230" spans="1:13" x14ac:dyDescent="0.25">
      <c r="A230" t="s">
        <v>1079</v>
      </c>
      <c r="B230">
        <v>1107</v>
      </c>
      <c r="C230" t="s">
        <v>22</v>
      </c>
      <c r="D230" t="s">
        <v>1080</v>
      </c>
      <c r="E230" t="s">
        <v>1081</v>
      </c>
      <c r="F230" t="s">
        <v>17</v>
      </c>
      <c r="G230">
        <v>0</v>
      </c>
    </row>
    <row r="231" spans="1:13" x14ac:dyDescent="0.25">
      <c r="A231" t="s">
        <v>1082</v>
      </c>
      <c r="B231">
        <v>5637</v>
      </c>
      <c r="C231" t="s">
        <v>457</v>
      </c>
      <c r="D231" t="s">
        <v>1083</v>
      </c>
      <c r="E231" t="s">
        <v>382</v>
      </c>
      <c r="F231" t="s">
        <v>17</v>
      </c>
      <c r="G231">
        <v>0</v>
      </c>
    </row>
    <row r="232" spans="1:13" x14ac:dyDescent="0.25">
      <c r="A232" t="s">
        <v>1084</v>
      </c>
      <c r="B232">
        <v>4376</v>
      </c>
      <c r="C232" t="s">
        <v>457</v>
      </c>
      <c r="D232" t="s">
        <v>1085</v>
      </c>
      <c r="E232" t="s">
        <v>875</v>
      </c>
      <c r="F232" t="s">
        <v>17</v>
      </c>
      <c r="G232">
        <v>0</v>
      </c>
    </row>
    <row r="233" spans="1:13" x14ac:dyDescent="0.25">
      <c r="A233" t="s">
        <v>1086</v>
      </c>
      <c r="B233">
        <v>1200</v>
      </c>
      <c r="C233" t="s">
        <v>457</v>
      </c>
      <c r="D233" t="s">
        <v>1087</v>
      </c>
      <c r="E233" t="s">
        <v>199</v>
      </c>
      <c r="F233" t="s">
        <v>17</v>
      </c>
      <c r="G233">
        <v>0</v>
      </c>
    </row>
    <row r="234" spans="1:13" x14ac:dyDescent="0.25">
      <c r="A234" t="s">
        <v>1088</v>
      </c>
      <c r="B234">
        <v>771</v>
      </c>
      <c r="C234" t="s">
        <v>457</v>
      </c>
      <c r="D234" t="s">
        <v>1089</v>
      </c>
      <c r="E234" t="s">
        <v>206</v>
      </c>
      <c r="F234" t="s">
        <v>17</v>
      </c>
      <c r="G234">
        <v>0</v>
      </c>
    </row>
    <row r="235" spans="1:13" x14ac:dyDescent="0.25">
      <c r="A235" t="s">
        <v>1090</v>
      </c>
      <c r="B235">
        <v>503</v>
      </c>
      <c r="C235" t="s">
        <v>457</v>
      </c>
      <c r="D235" t="s">
        <v>1091</v>
      </c>
      <c r="E235" t="s">
        <v>1092</v>
      </c>
      <c r="F235" t="s">
        <v>17</v>
      </c>
      <c r="G235">
        <v>0</v>
      </c>
    </row>
    <row r="236" spans="1:13" x14ac:dyDescent="0.25">
      <c r="A236" t="s">
        <v>1093</v>
      </c>
      <c r="B236">
        <v>293</v>
      </c>
      <c r="C236" t="s">
        <v>457</v>
      </c>
      <c r="D236" t="s">
        <v>1094</v>
      </c>
      <c r="E236" t="s">
        <v>694</v>
      </c>
      <c r="F236" t="s">
        <v>17</v>
      </c>
      <c r="G236">
        <v>0</v>
      </c>
    </row>
    <row r="237" spans="1:13" x14ac:dyDescent="0.25">
      <c r="A237" t="s">
        <v>1095</v>
      </c>
      <c r="B237">
        <v>18556</v>
      </c>
      <c r="C237" t="s">
        <v>255</v>
      </c>
      <c r="D237" t="s">
        <v>1096</v>
      </c>
      <c r="E237" t="s">
        <v>96</v>
      </c>
      <c r="F237" t="s">
        <v>17</v>
      </c>
      <c r="G237">
        <v>0</v>
      </c>
      <c r="J237" t="s">
        <v>1097</v>
      </c>
      <c r="M237" t="s">
        <v>1098</v>
      </c>
    </row>
    <row r="238" spans="1:13" x14ac:dyDescent="0.25">
      <c r="A238" t="s">
        <v>1099</v>
      </c>
      <c r="B238">
        <v>14453</v>
      </c>
      <c r="C238" t="s">
        <v>255</v>
      </c>
      <c r="D238" t="s">
        <v>1100</v>
      </c>
      <c r="E238" t="s">
        <v>1101</v>
      </c>
      <c r="F238" t="s">
        <v>17</v>
      </c>
      <c r="G238">
        <v>0</v>
      </c>
      <c r="J238" t="s">
        <v>1102</v>
      </c>
      <c r="K238" s="21" t="s">
        <v>1423</v>
      </c>
      <c r="M238" t="s">
        <v>1103</v>
      </c>
    </row>
    <row r="239" spans="1:13" x14ac:dyDescent="0.25">
      <c r="A239" t="s">
        <v>1104</v>
      </c>
      <c r="B239">
        <v>12722</v>
      </c>
      <c r="C239" t="s">
        <v>255</v>
      </c>
      <c r="D239" t="s">
        <v>1105</v>
      </c>
      <c r="E239" t="s">
        <v>1106</v>
      </c>
      <c r="F239" t="s">
        <v>17</v>
      </c>
      <c r="G239">
        <v>0</v>
      </c>
      <c r="J239" t="s">
        <v>1107</v>
      </c>
      <c r="L239" t="s">
        <v>1108</v>
      </c>
      <c r="M239" t="s">
        <v>1109</v>
      </c>
    </row>
    <row r="240" spans="1:13" x14ac:dyDescent="0.25">
      <c r="A240" t="s">
        <v>1110</v>
      </c>
      <c r="B240">
        <v>12081</v>
      </c>
      <c r="C240" t="s">
        <v>255</v>
      </c>
      <c r="D240" t="s">
        <v>1111</v>
      </c>
      <c r="E240" t="s">
        <v>1112</v>
      </c>
      <c r="F240" t="s">
        <v>17</v>
      </c>
      <c r="G240">
        <v>0</v>
      </c>
    </row>
    <row r="241" spans="1:7" x14ac:dyDescent="0.25">
      <c r="A241" t="s">
        <v>1113</v>
      </c>
      <c r="B241">
        <v>889</v>
      </c>
      <c r="C241" t="s">
        <v>255</v>
      </c>
      <c r="D241" t="s">
        <v>1114</v>
      </c>
      <c r="E241" t="s">
        <v>953</v>
      </c>
      <c r="F241" t="s">
        <v>17</v>
      </c>
      <c r="G241">
        <v>0</v>
      </c>
    </row>
    <row r="242" spans="1:7" x14ac:dyDescent="0.25">
      <c r="A242" t="s">
        <v>1115</v>
      </c>
      <c r="B242">
        <v>642</v>
      </c>
      <c r="C242" t="s">
        <v>255</v>
      </c>
      <c r="D242" t="s">
        <v>1116</v>
      </c>
      <c r="E242" t="s">
        <v>206</v>
      </c>
      <c r="F242" t="s">
        <v>17</v>
      </c>
      <c r="G242">
        <v>0</v>
      </c>
    </row>
    <row r="243" spans="1:7" x14ac:dyDescent="0.25">
      <c r="A243" t="s">
        <v>1117</v>
      </c>
      <c r="B243">
        <v>5044</v>
      </c>
      <c r="C243" t="s">
        <v>270</v>
      </c>
      <c r="D243" t="s">
        <v>1118</v>
      </c>
      <c r="E243" t="s">
        <v>563</v>
      </c>
      <c r="F243" t="s">
        <v>17</v>
      </c>
      <c r="G243">
        <v>0</v>
      </c>
    </row>
    <row r="244" spans="1:7" x14ac:dyDescent="0.25">
      <c r="A244" t="s">
        <v>1119</v>
      </c>
      <c r="B244">
        <v>4018</v>
      </c>
      <c r="C244" t="s">
        <v>270</v>
      </c>
      <c r="D244" t="s">
        <v>1120</v>
      </c>
      <c r="E244" t="s">
        <v>127</v>
      </c>
      <c r="F244" t="s">
        <v>17</v>
      </c>
      <c r="G244">
        <v>0</v>
      </c>
    </row>
    <row r="245" spans="1:7" x14ac:dyDescent="0.25">
      <c r="A245" t="s">
        <v>1121</v>
      </c>
      <c r="B245">
        <v>2601</v>
      </c>
      <c r="C245" t="s">
        <v>270</v>
      </c>
      <c r="D245" t="s">
        <v>1122</v>
      </c>
      <c r="E245" t="s">
        <v>206</v>
      </c>
      <c r="F245" t="s">
        <v>17</v>
      </c>
      <c r="G245">
        <v>0</v>
      </c>
    </row>
    <row r="246" spans="1:7" x14ac:dyDescent="0.25">
      <c r="A246" t="s">
        <v>1123</v>
      </c>
      <c r="B246">
        <v>2369</v>
      </c>
      <c r="C246" t="s">
        <v>270</v>
      </c>
      <c r="D246" t="s">
        <v>1124</v>
      </c>
      <c r="E246" t="s">
        <v>812</v>
      </c>
      <c r="F246" t="s">
        <v>17</v>
      </c>
      <c r="G246">
        <v>0</v>
      </c>
    </row>
    <row r="247" spans="1:7" x14ac:dyDescent="0.25">
      <c r="A247" t="s">
        <v>1125</v>
      </c>
      <c r="B247">
        <v>1234</v>
      </c>
      <c r="C247" t="s">
        <v>270</v>
      </c>
      <c r="D247" t="s">
        <v>1126</v>
      </c>
      <c r="E247" t="s">
        <v>155</v>
      </c>
      <c r="F247" t="s">
        <v>17</v>
      </c>
      <c r="G247">
        <v>0</v>
      </c>
    </row>
    <row r="248" spans="1:7" x14ac:dyDescent="0.25">
      <c r="A248" t="s">
        <v>1127</v>
      </c>
      <c r="B248">
        <v>872</v>
      </c>
      <c r="C248" t="s">
        <v>270</v>
      </c>
      <c r="D248" t="s">
        <v>1128</v>
      </c>
      <c r="E248" t="s">
        <v>896</v>
      </c>
      <c r="F248" t="s">
        <v>17</v>
      </c>
      <c r="G248">
        <v>0</v>
      </c>
    </row>
    <row r="249" spans="1:7" x14ac:dyDescent="0.25">
      <c r="A249" t="s">
        <v>1129</v>
      </c>
      <c r="B249">
        <v>640</v>
      </c>
      <c r="C249" t="s">
        <v>270</v>
      </c>
      <c r="D249" t="s">
        <v>1130</v>
      </c>
      <c r="E249" t="s">
        <v>953</v>
      </c>
      <c r="F249" t="s">
        <v>17</v>
      </c>
      <c r="G249">
        <v>0</v>
      </c>
    </row>
    <row r="250" spans="1:7" x14ac:dyDescent="0.25">
      <c r="A250" t="s">
        <v>1131</v>
      </c>
      <c r="B250">
        <v>7733</v>
      </c>
      <c r="C250" t="s">
        <v>535</v>
      </c>
      <c r="D250" t="s">
        <v>1132</v>
      </c>
      <c r="E250" t="s">
        <v>660</v>
      </c>
      <c r="F250" t="s">
        <v>17</v>
      </c>
      <c r="G250">
        <v>0</v>
      </c>
    </row>
    <row r="251" spans="1:7" x14ac:dyDescent="0.25">
      <c r="A251" t="s">
        <v>1133</v>
      </c>
      <c r="B251">
        <v>5346</v>
      </c>
      <c r="C251" t="s">
        <v>535</v>
      </c>
      <c r="D251" t="s">
        <v>1134</v>
      </c>
      <c r="E251" t="s">
        <v>494</v>
      </c>
      <c r="F251" t="s">
        <v>17</v>
      </c>
      <c r="G251">
        <v>0</v>
      </c>
    </row>
    <row r="252" spans="1:7" x14ac:dyDescent="0.25">
      <c r="A252" t="s">
        <v>1135</v>
      </c>
      <c r="B252">
        <v>4648</v>
      </c>
      <c r="C252" t="s">
        <v>535</v>
      </c>
      <c r="D252" t="s">
        <v>1136</v>
      </c>
      <c r="E252" t="s">
        <v>743</v>
      </c>
      <c r="F252" t="s">
        <v>17</v>
      </c>
      <c r="G252">
        <v>0</v>
      </c>
    </row>
    <row r="253" spans="1:7" x14ac:dyDescent="0.25">
      <c r="A253" t="s">
        <v>1137</v>
      </c>
      <c r="B253">
        <v>2397</v>
      </c>
      <c r="C253" t="s">
        <v>535</v>
      </c>
      <c r="D253" t="s">
        <v>1138</v>
      </c>
      <c r="E253" t="s">
        <v>206</v>
      </c>
      <c r="F253" t="s">
        <v>17</v>
      </c>
      <c r="G253">
        <v>0</v>
      </c>
    </row>
    <row r="254" spans="1:7" x14ac:dyDescent="0.25">
      <c r="A254" t="s">
        <v>1139</v>
      </c>
      <c r="B254">
        <v>781</v>
      </c>
      <c r="C254" t="s">
        <v>535</v>
      </c>
      <c r="D254" t="s">
        <v>1140</v>
      </c>
      <c r="E254" t="s">
        <v>925</v>
      </c>
      <c r="F254" t="s">
        <v>17</v>
      </c>
      <c r="G254">
        <v>0</v>
      </c>
    </row>
    <row r="255" spans="1:7" x14ac:dyDescent="0.25">
      <c r="A255" t="s">
        <v>1141</v>
      </c>
      <c r="B255">
        <v>764</v>
      </c>
      <c r="C255" t="s">
        <v>535</v>
      </c>
      <c r="D255" t="s">
        <v>1142</v>
      </c>
      <c r="E255" t="s">
        <v>807</v>
      </c>
      <c r="F255" t="s">
        <v>17</v>
      </c>
      <c r="G255">
        <v>0</v>
      </c>
    </row>
    <row r="256" spans="1:7" x14ac:dyDescent="0.25">
      <c r="A256" t="s">
        <v>1143</v>
      </c>
      <c r="B256">
        <v>5851</v>
      </c>
      <c r="C256" t="s">
        <v>514</v>
      </c>
      <c r="D256" t="s">
        <v>1144</v>
      </c>
      <c r="E256" t="s">
        <v>660</v>
      </c>
      <c r="F256" t="s">
        <v>17</v>
      </c>
      <c r="G256">
        <v>0</v>
      </c>
    </row>
    <row r="257" spans="1:13" x14ac:dyDescent="0.25">
      <c r="A257" t="s">
        <v>1145</v>
      </c>
      <c r="B257">
        <v>5270</v>
      </c>
      <c r="C257" t="s">
        <v>514</v>
      </c>
      <c r="D257" t="s">
        <v>1146</v>
      </c>
      <c r="E257" t="s">
        <v>494</v>
      </c>
      <c r="F257" t="s">
        <v>17</v>
      </c>
      <c r="G257">
        <v>0</v>
      </c>
    </row>
    <row r="258" spans="1:13" x14ac:dyDescent="0.25">
      <c r="A258" t="s">
        <v>1147</v>
      </c>
      <c r="B258">
        <v>400</v>
      </c>
      <c r="C258" t="s">
        <v>514</v>
      </c>
      <c r="D258" t="s">
        <v>1148</v>
      </c>
      <c r="E258" t="s">
        <v>875</v>
      </c>
      <c r="F258" t="s">
        <v>17</v>
      </c>
      <c r="G258">
        <v>0</v>
      </c>
    </row>
    <row r="259" spans="1:13" x14ac:dyDescent="0.25">
      <c r="A259" t="s">
        <v>1149</v>
      </c>
      <c r="B259">
        <v>27982</v>
      </c>
      <c r="C259" t="s">
        <v>1150</v>
      </c>
      <c r="D259" t="s">
        <v>1151</v>
      </c>
      <c r="E259" t="s">
        <v>1152</v>
      </c>
      <c r="F259" t="s">
        <v>33</v>
      </c>
      <c r="G259">
        <v>1</v>
      </c>
      <c r="H259" t="s">
        <v>1153</v>
      </c>
      <c r="I259" t="s">
        <v>1154</v>
      </c>
    </row>
    <row r="260" spans="1:13" x14ac:dyDescent="0.25">
      <c r="A260" t="s">
        <v>1155</v>
      </c>
      <c r="B260">
        <v>24205</v>
      </c>
      <c r="C260" t="s">
        <v>1150</v>
      </c>
      <c r="D260" t="s">
        <v>1156</v>
      </c>
      <c r="E260" t="s">
        <v>1157</v>
      </c>
      <c r="F260" t="s">
        <v>17</v>
      </c>
      <c r="G260">
        <v>0</v>
      </c>
    </row>
    <row r="261" spans="1:13" x14ac:dyDescent="0.25">
      <c r="A261" t="s">
        <v>1158</v>
      </c>
      <c r="B261">
        <v>10915</v>
      </c>
      <c r="C261" t="s">
        <v>1150</v>
      </c>
      <c r="D261" t="s">
        <v>1159</v>
      </c>
      <c r="E261" t="s">
        <v>750</v>
      </c>
      <c r="F261" t="s">
        <v>17</v>
      </c>
      <c r="G261">
        <v>0</v>
      </c>
    </row>
    <row r="262" spans="1:13" x14ac:dyDescent="0.25">
      <c r="A262" t="s">
        <v>1160</v>
      </c>
      <c r="B262">
        <v>5953</v>
      </c>
      <c r="C262" t="s">
        <v>1150</v>
      </c>
      <c r="D262" t="s">
        <v>1161</v>
      </c>
      <c r="E262" t="s">
        <v>473</v>
      </c>
      <c r="F262" t="s">
        <v>17</v>
      </c>
      <c r="G262">
        <v>0</v>
      </c>
    </row>
    <row r="263" spans="1:13" x14ac:dyDescent="0.25">
      <c r="A263" t="s">
        <v>1162</v>
      </c>
      <c r="B263">
        <v>3145</v>
      </c>
      <c r="C263" t="s">
        <v>1150</v>
      </c>
      <c r="D263" t="s">
        <v>1163</v>
      </c>
      <c r="E263" t="s">
        <v>1164</v>
      </c>
      <c r="F263" t="s">
        <v>17</v>
      </c>
      <c r="G263">
        <v>0</v>
      </c>
    </row>
    <row r="264" spans="1:13" x14ac:dyDescent="0.25">
      <c r="A264" t="s">
        <v>1165</v>
      </c>
      <c r="B264">
        <v>1585</v>
      </c>
      <c r="C264" t="s">
        <v>1150</v>
      </c>
      <c r="D264" t="s">
        <v>1166</v>
      </c>
      <c r="E264" t="s">
        <v>155</v>
      </c>
      <c r="F264" t="s">
        <v>17</v>
      </c>
      <c r="G264">
        <v>0</v>
      </c>
    </row>
    <row r="265" spans="1:13" x14ac:dyDescent="0.25">
      <c r="A265" t="s">
        <v>1167</v>
      </c>
      <c r="B265">
        <v>1189</v>
      </c>
      <c r="C265" t="s">
        <v>1150</v>
      </c>
      <c r="D265" t="s">
        <v>1168</v>
      </c>
      <c r="E265" t="s">
        <v>127</v>
      </c>
      <c r="F265" t="s">
        <v>17</v>
      </c>
      <c r="G265">
        <v>0</v>
      </c>
    </row>
    <row r="266" spans="1:13" x14ac:dyDescent="0.25">
      <c r="A266" t="s">
        <v>1169</v>
      </c>
      <c r="B266">
        <v>1150</v>
      </c>
      <c r="C266" t="s">
        <v>1150</v>
      </c>
      <c r="D266" t="s">
        <v>1170</v>
      </c>
      <c r="E266" t="s">
        <v>660</v>
      </c>
      <c r="F266" t="s">
        <v>17</v>
      </c>
      <c r="G266">
        <v>0</v>
      </c>
    </row>
    <row r="267" spans="1:13" x14ac:dyDescent="0.25">
      <c r="A267" t="s">
        <v>1171</v>
      </c>
      <c r="B267">
        <v>867</v>
      </c>
      <c r="C267" t="s">
        <v>1150</v>
      </c>
      <c r="D267" t="s">
        <v>1172</v>
      </c>
      <c r="E267" t="s">
        <v>206</v>
      </c>
      <c r="F267" t="s">
        <v>17</v>
      </c>
      <c r="G267">
        <v>0</v>
      </c>
    </row>
    <row r="268" spans="1:13" x14ac:dyDescent="0.25">
      <c r="A268" t="s">
        <v>1173</v>
      </c>
      <c r="B268">
        <v>853</v>
      </c>
      <c r="C268" t="s">
        <v>1150</v>
      </c>
      <c r="D268" t="s">
        <v>1174</v>
      </c>
      <c r="E268" t="s">
        <v>815</v>
      </c>
      <c r="F268" t="s">
        <v>17</v>
      </c>
      <c r="G268">
        <v>0</v>
      </c>
    </row>
    <row r="269" spans="1:13" x14ac:dyDescent="0.25">
      <c r="A269" t="s">
        <v>1175</v>
      </c>
      <c r="B269">
        <v>546</v>
      </c>
      <c r="C269" t="s">
        <v>1150</v>
      </c>
      <c r="D269" t="s">
        <v>1176</v>
      </c>
      <c r="E269" t="s">
        <v>235</v>
      </c>
      <c r="F269" t="s">
        <v>17</v>
      </c>
      <c r="G269">
        <v>0</v>
      </c>
    </row>
    <row r="270" spans="1:13" x14ac:dyDescent="0.25">
      <c r="A270" t="s">
        <v>1177</v>
      </c>
      <c r="B270">
        <v>305</v>
      </c>
      <c r="C270" t="s">
        <v>1150</v>
      </c>
      <c r="D270" t="s">
        <v>1178</v>
      </c>
      <c r="E270" t="s">
        <v>875</v>
      </c>
      <c r="F270" t="s">
        <v>17</v>
      </c>
      <c r="G270">
        <v>0</v>
      </c>
    </row>
    <row r="271" spans="1:13" x14ac:dyDescent="0.25">
      <c r="A271" t="s">
        <v>1179</v>
      </c>
      <c r="B271">
        <v>173</v>
      </c>
      <c r="C271" t="s">
        <v>1150</v>
      </c>
      <c r="D271" t="s">
        <v>1180</v>
      </c>
      <c r="E271" t="s">
        <v>807</v>
      </c>
      <c r="F271" t="s">
        <v>17</v>
      </c>
      <c r="G271">
        <v>0</v>
      </c>
    </row>
    <row r="272" spans="1:13" x14ac:dyDescent="0.25">
      <c r="A272" t="s">
        <v>1181</v>
      </c>
      <c r="B272">
        <v>36155</v>
      </c>
      <c r="C272" t="s">
        <v>436</v>
      </c>
      <c r="D272" t="s">
        <v>1182</v>
      </c>
      <c r="E272" t="s">
        <v>494</v>
      </c>
      <c r="F272" t="s">
        <v>17</v>
      </c>
      <c r="G272">
        <v>0</v>
      </c>
      <c r="J272" t="s">
        <v>1183</v>
      </c>
      <c r="L272" t="s">
        <v>1184</v>
      </c>
      <c r="M272" t="s">
        <v>1185</v>
      </c>
    </row>
    <row r="273" spans="1:13" x14ac:dyDescent="0.25">
      <c r="A273" t="s">
        <v>1186</v>
      </c>
      <c r="B273">
        <v>30419</v>
      </c>
      <c r="C273" t="s">
        <v>436</v>
      </c>
      <c r="D273" t="s">
        <v>1187</v>
      </c>
      <c r="E273" t="s">
        <v>16</v>
      </c>
      <c r="F273" t="s">
        <v>17</v>
      </c>
      <c r="G273">
        <v>0</v>
      </c>
      <c r="J273" t="s">
        <v>1188</v>
      </c>
      <c r="L273" t="s">
        <v>1189</v>
      </c>
      <c r="M273" t="s">
        <v>1190</v>
      </c>
    </row>
    <row r="274" spans="1:13" x14ac:dyDescent="0.25">
      <c r="A274" t="s">
        <v>1191</v>
      </c>
      <c r="B274">
        <v>8052</v>
      </c>
      <c r="C274" t="s">
        <v>436</v>
      </c>
      <c r="D274" t="s">
        <v>1192</v>
      </c>
      <c r="E274" t="s">
        <v>119</v>
      </c>
      <c r="F274" t="s">
        <v>17</v>
      </c>
      <c r="G274">
        <v>0</v>
      </c>
    </row>
    <row r="275" spans="1:13" x14ac:dyDescent="0.25">
      <c r="A275" t="s">
        <v>1193</v>
      </c>
      <c r="B275">
        <v>4396</v>
      </c>
      <c r="C275" t="s">
        <v>436</v>
      </c>
      <c r="D275" t="s">
        <v>1194</v>
      </c>
      <c r="E275" t="s">
        <v>41</v>
      </c>
      <c r="F275" t="s">
        <v>17</v>
      </c>
      <c r="G275">
        <v>0</v>
      </c>
    </row>
    <row r="276" spans="1:13" x14ac:dyDescent="0.25">
      <c r="A276" t="s">
        <v>1195</v>
      </c>
      <c r="B276">
        <v>3988</v>
      </c>
      <c r="C276" t="s">
        <v>436</v>
      </c>
      <c r="D276" t="s">
        <v>1196</v>
      </c>
      <c r="E276" t="s">
        <v>750</v>
      </c>
      <c r="F276" t="s">
        <v>17</v>
      </c>
      <c r="G276">
        <v>0</v>
      </c>
    </row>
    <row r="277" spans="1:13" x14ac:dyDescent="0.25">
      <c r="A277" t="s">
        <v>1197</v>
      </c>
      <c r="B277">
        <v>3761</v>
      </c>
      <c r="C277" t="s">
        <v>436</v>
      </c>
      <c r="D277" t="s">
        <v>1198</v>
      </c>
      <c r="E277" t="s">
        <v>1199</v>
      </c>
      <c r="F277" t="s">
        <v>17</v>
      </c>
      <c r="G277">
        <v>0</v>
      </c>
    </row>
    <row r="278" spans="1:13" x14ac:dyDescent="0.25">
      <c r="A278" t="s">
        <v>1200</v>
      </c>
      <c r="B278">
        <v>2053</v>
      </c>
      <c r="C278" t="s">
        <v>436</v>
      </c>
      <c r="D278" t="s">
        <v>1201</v>
      </c>
      <c r="E278" t="s">
        <v>815</v>
      </c>
      <c r="F278" t="s">
        <v>17</v>
      </c>
      <c r="G278">
        <v>0</v>
      </c>
    </row>
    <row r="279" spans="1:13" x14ac:dyDescent="0.25">
      <c r="A279" t="s">
        <v>1202</v>
      </c>
      <c r="B279">
        <v>980</v>
      </c>
      <c r="C279" t="s">
        <v>436</v>
      </c>
      <c r="D279" t="s">
        <v>1203</v>
      </c>
      <c r="E279" t="s">
        <v>743</v>
      </c>
      <c r="F279" t="s">
        <v>17</v>
      </c>
      <c r="G279">
        <v>0</v>
      </c>
    </row>
    <row r="280" spans="1:13" x14ac:dyDescent="0.25">
      <c r="A280" t="s">
        <v>1204</v>
      </c>
      <c r="B280">
        <v>585</v>
      </c>
      <c r="C280" t="s">
        <v>436</v>
      </c>
      <c r="D280" t="s">
        <v>1205</v>
      </c>
      <c r="E280" t="s">
        <v>214</v>
      </c>
      <c r="F280" t="s">
        <v>17</v>
      </c>
      <c r="G280">
        <v>0</v>
      </c>
    </row>
    <row r="281" spans="1:13" x14ac:dyDescent="0.25">
      <c r="A281" t="s">
        <v>1206</v>
      </c>
      <c r="B281">
        <v>536</v>
      </c>
      <c r="C281" t="s">
        <v>436</v>
      </c>
      <c r="D281" t="s">
        <v>1207</v>
      </c>
      <c r="E281" t="s">
        <v>382</v>
      </c>
      <c r="F281" t="s">
        <v>17</v>
      </c>
      <c r="G281">
        <v>0</v>
      </c>
    </row>
    <row r="282" spans="1:13" x14ac:dyDescent="0.25">
      <c r="A282" t="s">
        <v>1208</v>
      </c>
      <c r="B282">
        <v>451</v>
      </c>
      <c r="C282" t="s">
        <v>436</v>
      </c>
      <c r="D282" t="s">
        <v>1209</v>
      </c>
      <c r="E282" t="s">
        <v>127</v>
      </c>
      <c r="F282" t="s">
        <v>17</v>
      </c>
      <c r="G282">
        <v>0</v>
      </c>
    </row>
    <row r="283" spans="1:13" x14ac:dyDescent="0.25">
      <c r="A283" t="s">
        <v>1210</v>
      </c>
      <c r="B283">
        <v>290</v>
      </c>
      <c r="C283" t="s">
        <v>436</v>
      </c>
      <c r="D283" t="s">
        <v>1211</v>
      </c>
      <c r="E283" t="s">
        <v>694</v>
      </c>
      <c r="F283" t="s">
        <v>17</v>
      </c>
      <c r="G283">
        <v>0</v>
      </c>
    </row>
    <row r="284" spans="1:13" x14ac:dyDescent="0.25">
      <c r="A284" t="s">
        <v>1212</v>
      </c>
      <c r="B284">
        <v>159</v>
      </c>
      <c r="C284" t="s">
        <v>436</v>
      </c>
      <c r="D284" t="s">
        <v>1213</v>
      </c>
      <c r="E284" t="s">
        <v>875</v>
      </c>
      <c r="F284" t="s">
        <v>17</v>
      </c>
      <c r="G284">
        <v>0</v>
      </c>
    </row>
    <row r="285" spans="1:13" x14ac:dyDescent="0.25">
      <c r="A285" t="s">
        <v>1214</v>
      </c>
      <c r="B285">
        <v>2447</v>
      </c>
      <c r="C285" t="s">
        <v>63</v>
      </c>
      <c r="D285" t="s">
        <v>1215</v>
      </c>
      <c r="E285" t="s">
        <v>341</v>
      </c>
      <c r="F285" t="s">
        <v>17</v>
      </c>
      <c r="G285">
        <v>0</v>
      </c>
    </row>
    <row r="286" spans="1:13" x14ac:dyDescent="0.25">
      <c r="A286" t="s">
        <v>1216</v>
      </c>
      <c r="B286">
        <v>346</v>
      </c>
      <c r="C286" t="s">
        <v>63</v>
      </c>
      <c r="D286" t="s">
        <v>1217</v>
      </c>
      <c r="E286" t="s">
        <v>743</v>
      </c>
      <c r="F286" t="s">
        <v>17</v>
      </c>
      <c r="G286">
        <v>0</v>
      </c>
    </row>
    <row r="287" spans="1:13" x14ac:dyDescent="0.25">
      <c r="A287" t="s">
        <v>1218</v>
      </c>
      <c r="B287">
        <v>218</v>
      </c>
      <c r="C287" t="s">
        <v>63</v>
      </c>
      <c r="D287" t="s">
        <v>1219</v>
      </c>
      <c r="E287" t="s">
        <v>155</v>
      </c>
      <c r="F287" t="s">
        <v>17</v>
      </c>
      <c r="G287">
        <v>0</v>
      </c>
    </row>
    <row r="288" spans="1:13" x14ac:dyDescent="0.25">
      <c r="A288" t="s">
        <v>1220</v>
      </c>
      <c r="B288">
        <v>16097</v>
      </c>
      <c r="C288" t="s">
        <v>110</v>
      </c>
      <c r="D288" t="s">
        <v>1221</v>
      </c>
      <c r="E288" t="s">
        <v>1222</v>
      </c>
      <c r="F288" t="s">
        <v>17</v>
      </c>
      <c r="G288">
        <v>0</v>
      </c>
      <c r="J288" t="s">
        <v>1223</v>
      </c>
    </row>
    <row r="289" spans="1:13" x14ac:dyDescent="0.25">
      <c r="A289" t="s">
        <v>1224</v>
      </c>
      <c r="B289">
        <v>5729</v>
      </c>
      <c r="C289" t="s">
        <v>110</v>
      </c>
      <c r="D289" t="s">
        <v>1225</v>
      </c>
      <c r="E289" t="s">
        <v>341</v>
      </c>
      <c r="F289" t="s">
        <v>17</v>
      </c>
      <c r="G289">
        <v>0</v>
      </c>
    </row>
    <row r="290" spans="1:13" x14ac:dyDescent="0.25">
      <c r="A290" t="s">
        <v>1224</v>
      </c>
      <c r="B290">
        <v>5729</v>
      </c>
      <c r="C290" t="s">
        <v>110</v>
      </c>
      <c r="D290" t="s">
        <v>1225</v>
      </c>
      <c r="E290" t="s">
        <v>341</v>
      </c>
      <c r="F290" t="s">
        <v>17</v>
      </c>
      <c r="G290">
        <v>0</v>
      </c>
    </row>
    <row r="291" spans="1:13" x14ac:dyDescent="0.25">
      <c r="A291" t="s">
        <v>1226</v>
      </c>
      <c r="B291">
        <v>1871</v>
      </c>
      <c r="C291" t="s">
        <v>110</v>
      </c>
      <c r="D291" t="s">
        <v>1227</v>
      </c>
      <c r="E291" t="s">
        <v>812</v>
      </c>
      <c r="F291" t="s">
        <v>17</v>
      </c>
      <c r="G291">
        <v>0</v>
      </c>
    </row>
    <row r="292" spans="1:13" x14ac:dyDescent="0.25">
      <c r="A292" t="s">
        <v>1226</v>
      </c>
      <c r="B292">
        <v>1871</v>
      </c>
      <c r="C292" t="s">
        <v>110</v>
      </c>
      <c r="D292" t="s">
        <v>1227</v>
      </c>
      <c r="E292" t="s">
        <v>812</v>
      </c>
      <c r="F292" t="s">
        <v>17</v>
      </c>
      <c r="G292">
        <v>0</v>
      </c>
    </row>
    <row r="293" spans="1:13" x14ac:dyDescent="0.25">
      <c r="A293" t="s">
        <v>1228</v>
      </c>
      <c r="B293">
        <v>1400</v>
      </c>
      <c r="C293" t="s">
        <v>110</v>
      </c>
      <c r="D293" t="s">
        <v>1229</v>
      </c>
      <c r="E293" t="s">
        <v>1230</v>
      </c>
      <c r="F293" t="s">
        <v>17</v>
      </c>
      <c r="G293">
        <v>0</v>
      </c>
    </row>
    <row r="294" spans="1:13" x14ac:dyDescent="0.25">
      <c r="A294" t="s">
        <v>1228</v>
      </c>
      <c r="B294">
        <v>1400</v>
      </c>
      <c r="C294" t="s">
        <v>110</v>
      </c>
      <c r="D294" t="s">
        <v>1229</v>
      </c>
      <c r="E294" t="s">
        <v>1230</v>
      </c>
      <c r="F294" t="s">
        <v>17</v>
      </c>
      <c r="G294">
        <v>0</v>
      </c>
    </row>
    <row r="295" spans="1:13" x14ac:dyDescent="0.25">
      <c r="A295" t="s">
        <v>1231</v>
      </c>
      <c r="B295">
        <v>1361</v>
      </c>
      <c r="C295" t="s">
        <v>110</v>
      </c>
      <c r="D295" t="s">
        <v>1232</v>
      </c>
      <c r="E295" t="s">
        <v>743</v>
      </c>
      <c r="F295" t="s">
        <v>17</v>
      </c>
      <c r="G295">
        <v>0</v>
      </c>
    </row>
    <row r="296" spans="1:13" x14ac:dyDescent="0.25">
      <c r="A296" t="s">
        <v>1231</v>
      </c>
      <c r="B296">
        <v>1361</v>
      </c>
      <c r="C296" t="s">
        <v>110</v>
      </c>
      <c r="D296" t="s">
        <v>1232</v>
      </c>
      <c r="E296" t="s">
        <v>743</v>
      </c>
      <c r="F296" t="s">
        <v>17</v>
      </c>
      <c r="G296">
        <v>0</v>
      </c>
    </row>
    <row r="297" spans="1:13" x14ac:dyDescent="0.25">
      <c r="A297" t="s">
        <v>1233</v>
      </c>
      <c r="B297">
        <v>1192</v>
      </c>
      <c r="C297" t="s">
        <v>110</v>
      </c>
      <c r="D297" t="s">
        <v>1234</v>
      </c>
      <c r="E297" t="s">
        <v>807</v>
      </c>
      <c r="F297" t="s">
        <v>17</v>
      </c>
      <c r="G297">
        <v>0</v>
      </c>
    </row>
    <row r="298" spans="1:13" x14ac:dyDescent="0.25">
      <c r="A298" t="s">
        <v>1233</v>
      </c>
      <c r="B298">
        <v>1192</v>
      </c>
      <c r="C298" t="s">
        <v>110</v>
      </c>
      <c r="D298" t="s">
        <v>1234</v>
      </c>
      <c r="E298" t="s">
        <v>807</v>
      </c>
      <c r="F298" t="s">
        <v>17</v>
      </c>
      <c r="G298">
        <v>0</v>
      </c>
    </row>
    <row r="299" spans="1:13" x14ac:dyDescent="0.25">
      <c r="A299" t="s">
        <v>1235</v>
      </c>
      <c r="B299">
        <v>756</v>
      </c>
      <c r="C299" t="s">
        <v>110</v>
      </c>
      <c r="D299" t="s">
        <v>1236</v>
      </c>
      <c r="E299" t="s">
        <v>875</v>
      </c>
      <c r="F299" t="s">
        <v>17</v>
      </c>
      <c r="G299">
        <v>0</v>
      </c>
    </row>
    <row r="300" spans="1:13" x14ac:dyDescent="0.25">
      <c r="A300" t="s">
        <v>1235</v>
      </c>
      <c r="B300">
        <v>756</v>
      </c>
      <c r="C300" t="s">
        <v>110</v>
      </c>
      <c r="D300" t="s">
        <v>1236</v>
      </c>
      <c r="E300" t="s">
        <v>875</v>
      </c>
      <c r="F300" t="s">
        <v>17</v>
      </c>
      <c r="G300">
        <v>0</v>
      </c>
    </row>
    <row r="301" spans="1:13" x14ac:dyDescent="0.25">
      <c r="A301" t="s">
        <v>1237</v>
      </c>
      <c r="B301">
        <v>38152</v>
      </c>
      <c r="C301" t="s">
        <v>790</v>
      </c>
      <c r="D301" t="s">
        <v>1238</v>
      </c>
      <c r="E301" t="s">
        <v>119</v>
      </c>
      <c r="F301" t="s">
        <v>17</v>
      </c>
      <c r="G301">
        <v>0</v>
      </c>
      <c r="J301" t="s">
        <v>1239</v>
      </c>
      <c r="M301" t="s">
        <v>1240</v>
      </c>
    </row>
    <row r="302" spans="1:13" x14ac:dyDescent="0.25">
      <c r="A302" t="s">
        <v>1241</v>
      </c>
      <c r="B302">
        <v>12363</v>
      </c>
      <c r="C302" t="s">
        <v>790</v>
      </c>
      <c r="D302" t="s">
        <v>1242</v>
      </c>
      <c r="E302" t="s">
        <v>815</v>
      </c>
      <c r="F302" t="s">
        <v>17</v>
      </c>
      <c r="G302">
        <v>0</v>
      </c>
      <c r="J302" t="s">
        <v>1243</v>
      </c>
      <c r="M302" t="s">
        <v>1244</v>
      </c>
    </row>
    <row r="303" spans="1:13" x14ac:dyDescent="0.25">
      <c r="A303" t="s">
        <v>1245</v>
      </c>
      <c r="B303">
        <v>4374</v>
      </c>
      <c r="C303" t="s">
        <v>790</v>
      </c>
      <c r="D303" t="s">
        <v>1246</v>
      </c>
      <c r="E303" t="s">
        <v>1247</v>
      </c>
      <c r="F303" t="s">
        <v>17</v>
      </c>
      <c r="G303">
        <v>0</v>
      </c>
    </row>
    <row r="304" spans="1:13" x14ac:dyDescent="0.25">
      <c r="A304" t="s">
        <v>1248</v>
      </c>
      <c r="B304">
        <v>1770</v>
      </c>
      <c r="C304" t="s">
        <v>790</v>
      </c>
      <c r="D304" t="s">
        <v>1249</v>
      </c>
      <c r="E304" t="s">
        <v>1250</v>
      </c>
      <c r="F304" t="s">
        <v>17</v>
      </c>
      <c r="G304">
        <v>0</v>
      </c>
    </row>
    <row r="305" spans="1:7" x14ac:dyDescent="0.25">
      <c r="A305" t="s">
        <v>1251</v>
      </c>
      <c r="B305">
        <v>1419</v>
      </c>
      <c r="C305" t="s">
        <v>790</v>
      </c>
      <c r="D305" t="s">
        <v>1252</v>
      </c>
      <c r="E305" t="s">
        <v>206</v>
      </c>
      <c r="F305" t="s">
        <v>17</v>
      </c>
      <c r="G305">
        <v>0</v>
      </c>
    </row>
    <row r="306" spans="1:7" x14ac:dyDescent="0.25">
      <c r="A306" t="s">
        <v>1253</v>
      </c>
      <c r="B306">
        <v>1251</v>
      </c>
      <c r="C306" t="s">
        <v>790</v>
      </c>
      <c r="D306" t="s">
        <v>1254</v>
      </c>
      <c r="E306" t="s">
        <v>382</v>
      </c>
      <c r="F306" t="s">
        <v>17</v>
      </c>
      <c r="G306">
        <v>0</v>
      </c>
    </row>
    <row r="307" spans="1:7" x14ac:dyDescent="0.25">
      <c r="A307" t="s">
        <v>1255</v>
      </c>
      <c r="B307">
        <v>1183</v>
      </c>
      <c r="C307" t="s">
        <v>790</v>
      </c>
      <c r="D307" t="s">
        <v>1256</v>
      </c>
      <c r="E307" t="s">
        <v>1257</v>
      </c>
      <c r="F307" t="s">
        <v>17</v>
      </c>
      <c r="G307">
        <v>0</v>
      </c>
    </row>
    <row r="308" spans="1:7" x14ac:dyDescent="0.25">
      <c r="A308" t="s">
        <v>1258</v>
      </c>
      <c r="B308">
        <v>735</v>
      </c>
      <c r="C308" t="s">
        <v>790</v>
      </c>
      <c r="D308" t="s">
        <v>1259</v>
      </c>
      <c r="E308" t="s">
        <v>812</v>
      </c>
      <c r="F308" t="s">
        <v>17</v>
      </c>
      <c r="G308">
        <v>0</v>
      </c>
    </row>
    <row r="309" spans="1:7" x14ac:dyDescent="0.25">
      <c r="A309" t="s">
        <v>1260</v>
      </c>
      <c r="B309">
        <v>646</v>
      </c>
      <c r="C309" t="s">
        <v>790</v>
      </c>
      <c r="D309" t="s">
        <v>1261</v>
      </c>
      <c r="E309" t="s">
        <v>341</v>
      </c>
      <c r="F309" t="s">
        <v>17</v>
      </c>
      <c r="G309">
        <v>0</v>
      </c>
    </row>
    <row r="310" spans="1:7" x14ac:dyDescent="0.25">
      <c r="A310" t="s">
        <v>1262</v>
      </c>
      <c r="B310">
        <v>618</v>
      </c>
      <c r="C310" t="s">
        <v>790</v>
      </c>
      <c r="D310" t="s">
        <v>1263</v>
      </c>
      <c r="E310" t="s">
        <v>743</v>
      </c>
      <c r="F310" t="s">
        <v>17</v>
      </c>
      <c r="G310">
        <v>0</v>
      </c>
    </row>
    <row r="311" spans="1:7" x14ac:dyDescent="0.25">
      <c r="A311" t="s">
        <v>1264</v>
      </c>
      <c r="B311">
        <v>444</v>
      </c>
      <c r="C311" t="s">
        <v>790</v>
      </c>
      <c r="D311" t="s">
        <v>1265</v>
      </c>
      <c r="E311" t="s">
        <v>875</v>
      </c>
      <c r="F311" t="s">
        <v>17</v>
      </c>
      <c r="G311">
        <v>0</v>
      </c>
    </row>
    <row r="312" spans="1:7" x14ac:dyDescent="0.25">
      <c r="A312" t="s">
        <v>1266</v>
      </c>
      <c r="B312">
        <v>177</v>
      </c>
      <c r="C312" t="s">
        <v>790</v>
      </c>
      <c r="D312" t="s">
        <v>1267</v>
      </c>
      <c r="E312" t="s">
        <v>80</v>
      </c>
      <c r="F312" t="s">
        <v>17</v>
      </c>
      <c r="G312">
        <v>0</v>
      </c>
    </row>
    <row r="313" spans="1:7" x14ac:dyDescent="0.25">
      <c r="A313" t="s">
        <v>1268</v>
      </c>
      <c r="B313">
        <v>166</v>
      </c>
      <c r="C313" t="s">
        <v>790</v>
      </c>
      <c r="D313" t="s">
        <v>1269</v>
      </c>
      <c r="E313" t="s">
        <v>155</v>
      </c>
      <c r="F313" t="s">
        <v>17</v>
      </c>
      <c r="G313">
        <v>0</v>
      </c>
    </row>
    <row r="314" spans="1:7" x14ac:dyDescent="0.25">
      <c r="A314" t="s">
        <v>1270</v>
      </c>
      <c r="B314">
        <v>1482</v>
      </c>
      <c r="C314" t="s">
        <v>71</v>
      </c>
      <c r="D314" t="s">
        <v>1271</v>
      </c>
      <c r="E314" t="s">
        <v>341</v>
      </c>
      <c r="F314" t="s">
        <v>17</v>
      </c>
      <c r="G314">
        <v>0</v>
      </c>
    </row>
    <row r="315" spans="1:7" x14ac:dyDescent="0.25">
      <c r="A315" t="s">
        <v>1272</v>
      </c>
      <c r="B315">
        <v>1081</v>
      </c>
      <c r="C315" t="s">
        <v>71</v>
      </c>
      <c r="D315" t="s">
        <v>1273</v>
      </c>
      <c r="E315" t="s">
        <v>1274</v>
      </c>
      <c r="F315" t="s">
        <v>17</v>
      </c>
      <c r="G315">
        <v>0</v>
      </c>
    </row>
    <row r="316" spans="1:7" x14ac:dyDescent="0.25">
      <c r="A316" t="s">
        <v>1275</v>
      </c>
      <c r="B316">
        <v>0</v>
      </c>
      <c r="C316" t="s">
        <v>71</v>
      </c>
      <c r="D316" t="s">
        <v>1276</v>
      </c>
      <c r="E316" t="s">
        <v>214</v>
      </c>
      <c r="F316" t="s">
        <v>17</v>
      </c>
      <c r="G316">
        <v>0</v>
      </c>
    </row>
    <row r="317" spans="1:7" x14ac:dyDescent="0.25">
      <c r="A317" t="s">
        <v>1277</v>
      </c>
      <c r="B317">
        <v>0</v>
      </c>
      <c r="C317" t="s">
        <v>71</v>
      </c>
      <c r="D317" t="s">
        <v>1278</v>
      </c>
      <c r="E317" t="s">
        <v>743</v>
      </c>
      <c r="F317" t="s">
        <v>17</v>
      </c>
      <c r="G317">
        <v>0</v>
      </c>
    </row>
    <row r="318" spans="1:7" x14ac:dyDescent="0.25">
      <c r="A318" t="s">
        <v>1279</v>
      </c>
      <c r="B318">
        <v>0</v>
      </c>
      <c r="C318" t="s">
        <v>71</v>
      </c>
      <c r="D318" t="s">
        <v>1280</v>
      </c>
      <c r="E318" t="s">
        <v>1281</v>
      </c>
      <c r="F318" t="s">
        <v>17</v>
      </c>
      <c r="G318">
        <v>0</v>
      </c>
    </row>
    <row r="319" spans="1:7" x14ac:dyDescent="0.25">
      <c r="A319" t="s">
        <v>1282</v>
      </c>
      <c r="B319">
        <v>0</v>
      </c>
      <c r="C319" t="s">
        <v>71</v>
      </c>
      <c r="D319" t="s">
        <v>1283</v>
      </c>
      <c r="E319" t="s">
        <v>382</v>
      </c>
      <c r="F319" t="s">
        <v>17</v>
      </c>
      <c r="G319">
        <v>0</v>
      </c>
    </row>
    <row r="320" spans="1:7" x14ac:dyDescent="0.25">
      <c r="A320" t="s">
        <v>1284</v>
      </c>
      <c r="B320">
        <v>5215</v>
      </c>
      <c r="C320" t="s">
        <v>30</v>
      </c>
      <c r="D320" t="s">
        <v>1285</v>
      </c>
      <c r="E320" t="s">
        <v>812</v>
      </c>
      <c r="F320" t="s">
        <v>17</v>
      </c>
      <c r="G320">
        <v>0</v>
      </c>
    </row>
    <row r="321" spans="1:7" x14ac:dyDescent="0.25">
      <c r="A321" t="s">
        <v>1286</v>
      </c>
      <c r="B321">
        <v>1502</v>
      </c>
      <c r="C321" t="s">
        <v>30</v>
      </c>
      <c r="D321" t="s">
        <v>1287</v>
      </c>
      <c r="E321" t="s">
        <v>80</v>
      </c>
      <c r="F321" t="s">
        <v>17</v>
      </c>
      <c r="G321">
        <v>0</v>
      </c>
    </row>
    <row r="322" spans="1:7" x14ac:dyDescent="0.25">
      <c r="A322" t="s">
        <v>1288</v>
      </c>
      <c r="B322">
        <v>1367</v>
      </c>
      <c r="C322" t="s">
        <v>30</v>
      </c>
      <c r="D322" t="s">
        <v>1289</v>
      </c>
      <c r="E322" t="s">
        <v>119</v>
      </c>
      <c r="F322" t="s">
        <v>17</v>
      </c>
      <c r="G322">
        <v>0</v>
      </c>
    </row>
    <row r="323" spans="1:7" x14ac:dyDescent="0.25">
      <c r="A323" t="s">
        <v>1290</v>
      </c>
      <c r="B323">
        <v>1227</v>
      </c>
      <c r="C323" t="s">
        <v>30</v>
      </c>
      <c r="D323" t="s">
        <v>1291</v>
      </c>
      <c r="E323" t="s">
        <v>945</v>
      </c>
      <c r="F323" t="s">
        <v>17</v>
      </c>
      <c r="G323">
        <v>0</v>
      </c>
    </row>
    <row r="324" spans="1:7" x14ac:dyDescent="0.25">
      <c r="A324" t="s">
        <v>1292</v>
      </c>
      <c r="B324">
        <v>1221</v>
      </c>
      <c r="C324" t="s">
        <v>30</v>
      </c>
      <c r="D324" t="s">
        <v>1293</v>
      </c>
      <c r="E324" t="s">
        <v>660</v>
      </c>
      <c r="F324" t="s">
        <v>17</v>
      </c>
      <c r="G324">
        <v>0</v>
      </c>
    </row>
    <row r="325" spans="1:7" x14ac:dyDescent="0.25">
      <c r="A325" t="s">
        <v>1294</v>
      </c>
      <c r="B325">
        <v>614</v>
      </c>
      <c r="C325" t="s">
        <v>30</v>
      </c>
      <c r="D325" t="s">
        <v>1295</v>
      </c>
      <c r="E325" t="s">
        <v>743</v>
      </c>
      <c r="F325" t="s">
        <v>17</v>
      </c>
      <c r="G325">
        <v>0</v>
      </c>
    </row>
    <row r="326" spans="1:7" x14ac:dyDescent="0.25">
      <c r="A326" t="s">
        <v>1296</v>
      </c>
      <c r="B326">
        <v>484</v>
      </c>
      <c r="C326" t="s">
        <v>30</v>
      </c>
      <c r="D326" t="s">
        <v>1297</v>
      </c>
      <c r="E326" t="s">
        <v>815</v>
      </c>
      <c r="F326" t="s">
        <v>17</v>
      </c>
      <c r="G326">
        <v>0</v>
      </c>
    </row>
    <row r="327" spans="1:7" x14ac:dyDescent="0.25">
      <c r="A327" t="s">
        <v>1298</v>
      </c>
      <c r="B327">
        <v>320</v>
      </c>
      <c r="C327" t="s">
        <v>30</v>
      </c>
      <c r="D327" t="s">
        <v>1299</v>
      </c>
      <c r="E327" t="s">
        <v>925</v>
      </c>
      <c r="F327" t="s">
        <v>17</v>
      </c>
      <c r="G327">
        <v>0</v>
      </c>
    </row>
    <row r="328" spans="1:7" x14ac:dyDescent="0.25">
      <c r="A328" t="s">
        <v>1300</v>
      </c>
      <c r="B328">
        <v>8967</v>
      </c>
      <c r="C328" t="s">
        <v>197</v>
      </c>
      <c r="D328" t="s">
        <v>1301</v>
      </c>
      <c r="E328" t="s">
        <v>41</v>
      </c>
      <c r="F328" t="s">
        <v>17</v>
      </c>
      <c r="G328">
        <v>0</v>
      </c>
    </row>
    <row r="329" spans="1:7" x14ac:dyDescent="0.25">
      <c r="A329" t="s">
        <v>1302</v>
      </c>
      <c r="B329">
        <v>7195</v>
      </c>
      <c r="C329" t="s">
        <v>197</v>
      </c>
      <c r="D329" t="s">
        <v>1303</v>
      </c>
      <c r="E329" t="s">
        <v>1304</v>
      </c>
      <c r="F329" t="s">
        <v>17</v>
      </c>
      <c r="G329">
        <v>0</v>
      </c>
    </row>
    <row r="330" spans="1:7" x14ac:dyDescent="0.25">
      <c r="A330" t="s">
        <v>1305</v>
      </c>
      <c r="B330">
        <v>6035</v>
      </c>
      <c r="C330" t="s">
        <v>197</v>
      </c>
      <c r="D330" t="s">
        <v>1306</v>
      </c>
      <c r="E330" t="s">
        <v>494</v>
      </c>
      <c r="F330" t="s">
        <v>17</v>
      </c>
      <c r="G330">
        <v>0</v>
      </c>
    </row>
    <row r="331" spans="1:7" x14ac:dyDescent="0.25">
      <c r="A331" t="s">
        <v>1307</v>
      </c>
      <c r="B331">
        <v>999</v>
      </c>
      <c r="C331" t="s">
        <v>197</v>
      </c>
      <c r="D331" t="s">
        <v>1308</v>
      </c>
      <c r="E331" t="s">
        <v>382</v>
      </c>
      <c r="F331" t="s">
        <v>17</v>
      </c>
      <c r="G331">
        <v>0</v>
      </c>
    </row>
    <row r="332" spans="1:7" x14ac:dyDescent="0.25">
      <c r="A332" t="s">
        <v>1309</v>
      </c>
      <c r="B332">
        <v>192</v>
      </c>
      <c r="C332" t="s">
        <v>197</v>
      </c>
      <c r="D332" t="s">
        <v>1310</v>
      </c>
      <c r="E332" t="s">
        <v>694</v>
      </c>
      <c r="F332" t="s">
        <v>17</v>
      </c>
      <c r="G332">
        <v>0</v>
      </c>
    </row>
    <row r="333" spans="1:7" x14ac:dyDescent="0.25">
      <c r="A333" t="s">
        <v>1311</v>
      </c>
      <c r="B333">
        <v>0</v>
      </c>
      <c r="C333" t="s">
        <v>197</v>
      </c>
      <c r="D333" t="s">
        <v>1312</v>
      </c>
      <c r="E333" t="s">
        <v>235</v>
      </c>
      <c r="F333" t="s">
        <v>17</v>
      </c>
      <c r="G333">
        <v>0</v>
      </c>
    </row>
    <row r="334" spans="1:7" x14ac:dyDescent="0.25">
      <c r="A334" t="s">
        <v>1313</v>
      </c>
      <c r="B334">
        <v>10313</v>
      </c>
      <c r="C334" t="s">
        <v>86</v>
      </c>
      <c r="D334" t="s">
        <v>1314</v>
      </c>
      <c r="E334" t="s">
        <v>341</v>
      </c>
      <c r="F334" t="s">
        <v>17</v>
      </c>
      <c r="G334">
        <v>0</v>
      </c>
    </row>
    <row r="335" spans="1:7" x14ac:dyDescent="0.25">
      <c r="A335" t="s">
        <v>1315</v>
      </c>
      <c r="B335">
        <v>5799</v>
      </c>
      <c r="C335" t="s">
        <v>86</v>
      </c>
      <c r="D335" t="s">
        <v>1316</v>
      </c>
      <c r="E335" t="s">
        <v>1317</v>
      </c>
      <c r="F335" t="s">
        <v>17</v>
      </c>
      <c r="G335">
        <v>0</v>
      </c>
    </row>
    <row r="336" spans="1:7" x14ac:dyDescent="0.25">
      <c r="A336" t="s">
        <v>1318</v>
      </c>
      <c r="B336">
        <v>2027</v>
      </c>
      <c r="C336" t="s">
        <v>86</v>
      </c>
      <c r="D336" t="s">
        <v>1319</v>
      </c>
      <c r="E336" t="s">
        <v>206</v>
      </c>
      <c r="F336" t="s">
        <v>17</v>
      </c>
      <c r="G336">
        <v>0</v>
      </c>
    </row>
    <row r="337" spans="1:7" x14ac:dyDescent="0.25">
      <c r="A337" t="s">
        <v>1320</v>
      </c>
      <c r="B337">
        <v>171</v>
      </c>
      <c r="C337" t="s">
        <v>86</v>
      </c>
      <c r="D337" t="s">
        <v>1321</v>
      </c>
      <c r="E337" t="s">
        <v>815</v>
      </c>
      <c r="F337" t="s">
        <v>17</v>
      </c>
      <c r="G337">
        <v>0</v>
      </c>
    </row>
    <row r="338" spans="1:7" x14ac:dyDescent="0.25">
      <c r="A338" t="s">
        <v>1322</v>
      </c>
      <c r="B338">
        <v>14</v>
      </c>
      <c r="C338" t="s">
        <v>86</v>
      </c>
      <c r="D338" t="s">
        <v>1323</v>
      </c>
      <c r="E338" t="s">
        <v>694</v>
      </c>
      <c r="F338" t="s">
        <v>17</v>
      </c>
      <c r="G338">
        <v>0</v>
      </c>
    </row>
    <row r="339" spans="1:7" x14ac:dyDescent="0.25">
      <c r="A339" t="s">
        <v>1324</v>
      </c>
      <c r="B339">
        <v>6607</v>
      </c>
      <c r="C339" t="s">
        <v>55</v>
      </c>
      <c r="D339" t="s">
        <v>1325</v>
      </c>
      <c r="E339" t="s">
        <v>953</v>
      </c>
      <c r="F339" t="s">
        <v>17</v>
      </c>
      <c r="G339">
        <v>0</v>
      </c>
    </row>
    <row r="340" spans="1:7" x14ac:dyDescent="0.25">
      <c r="A340" t="s">
        <v>1326</v>
      </c>
      <c r="B340">
        <v>5839</v>
      </c>
      <c r="C340" t="s">
        <v>55</v>
      </c>
      <c r="D340" t="s">
        <v>1327</v>
      </c>
      <c r="E340" t="s">
        <v>214</v>
      </c>
      <c r="F340" t="s">
        <v>17</v>
      </c>
      <c r="G340">
        <v>0</v>
      </c>
    </row>
    <row r="341" spans="1:7" x14ac:dyDescent="0.25">
      <c r="A341" t="s">
        <v>1328</v>
      </c>
      <c r="B341">
        <v>4900</v>
      </c>
      <c r="C341" t="s">
        <v>55</v>
      </c>
      <c r="D341" t="s">
        <v>1329</v>
      </c>
      <c r="E341" t="s">
        <v>1330</v>
      </c>
      <c r="F341" t="s">
        <v>17</v>
      </c>
      <c r="G341">
        <v>0</v>
      </c>
    </row>
    <row r="342" spans="1:7" x14ac:dyDescent="0.25">
      <c r="A342" t="s">
        <v>1331</v>
      </c>
      <c r="B342">
        <v>1281</v>
      </c>
      <c r="C342" t="s">
        <v>55</v>
      </c>
      <c r="D342" t="s">
        <v>1332</v>
      </c>
      <c r="E342" t="s">
        <v>341</v>
      </c>
      <c r="F342" t="s">
        <v>17</v>
      </c>
      <c r="G342">
        <v>0</v>
      </c>
    </row>
    <row r="343" spans="1:7" x14ac:dyDescent="0.25">
      <c r="A343" t="s">
        <v>1333</v>
      </c>
      <c r="B343">
        <v>943</v>
      </c>
      <c r="C343" t="s">
        <v>55</v>
      </c>
      <c r="D343" t="s">
        <v>1334</v>
      </c>
      <c r="E343" t="s">
        <v>1335</v>
      </c>
      <c r="F343" t="s">
        <v>17</v>
      </c>
      <c r="G343">
        <v>0</v>
      </c>
    </row>
    <row r="344" spans="1:7" x14ac:dyDescent="0.25">
      <c r="A344" t="s">
        <v>1336</v>
      </c>
      <c r="B344">
        <v>802</v>
      </c>
      <c r="C344" t="s">
        <v>55</v>
      </c>
      <c r="D344" t="s">
        <v>1337</v>
      </c>
      <c r="E344" t="s">
        <v>1338</v>
      </c>
      <c r="F344" t="s">
        <v>17</v>
      </c>
      <c r="G344">
        <v>0</v>
      </c>
    </row>
    <row r="345" spans="1:7" x14ac:dyDescent="0.25">
      <c r="A345" t="s">
        <v>1339</v>
      </c>
      <c r="B345">
        <v>658</v>
      </c>
      <c r="C345" t="s">
        <v>55</v>
      </c>
      <c r="D345" t="s">
        <v>1340</v>
      </c>
      <c r="E345" t="s">
        <v>16</v>
      </c>
      <c r="F345" t="s">
        <v>17</v>
      </c>
      <c r="G345">
        <v>0</v>
      </c>
    </row>
    <row r="346" spans="1:7" x14ac:dyDescent="0.25">
      <c r="A346" t="s">
        <v>1341</v>
      </c>
      <c r="B346">
        <v>549</v>
      </c>
      <c r="C346" t="s">
        <v>55</v>
      </c>
      <c r="D346" t="s">
        <v>1342</v>
      </c>
      <c r="E346" t="s">
        <v>807</v>
      </c>
      <c r="F346" t="s">
        <v>17</v>
      </c>
      <c r="G346">
        <v>0</v>
      </c>
    </row>
    <row r="347" spans="1:7" x14ac:dyDescent="0.25">
      <c r="A347" t="s">
        <v>1343</v>
      </c>
      <c r="B347">
        <v>458</v>
      </c>
      <c r="C347" t="s">
        <v>55</v>
      </c>
      <c r="D347" t="s">
        <v>1344</v>
      </c>
      <c r="E347" t="s">
        <v>199</v>
      </c>
      <c r="F347" t="s">
        <v>17</v>
      </c>
      <c r="G347">
        <v>0</v>
      </c>
    </row>
    <row r="348" spans="1:7" x14ac:dyDescent="0.25">
      <c r="A348" t="s">
        <v>1345</v>
      </c>
      <c r="B348">
        <v>342</v>
      </c>
      <c r="C348" t="s">
        <v>55</v>
      </c>
      <c r="D348" t="s">
        <v>1346</v>
      </c>
      <c r="E348" t="s">
        <v>875</v>
      </c>
      <c r="F348" t="s">
        <v>17</v>
      </c>
      <c r="G348">
        <v>0</v>
      </c>
    </row>
    <row r="349" spans="1:7" x14ac:dyDescent="0.25">
      <c r="A349" t="s">
        <v>1347</v>
      </c>
      <c r="B349">
        <v>245</v>
      </c>
      <c r="C349" t="s">
        <v>55</v>
      </c>
      <c r="D349" t="s">
        <v>1348</v>
      </c>
      <c r="E349" t="s">
        <v>206</v>
      </c>
      <c r="F349" t="s">
        <v>17</v>
      </c>
      <c r="G349">
        <v>0</v>
      </c>
    </row>
    <row r="350" spans="1:7" x14ac:dyDescent="0.25">
      <c r="A350" t="s">
        <v>1349</v>
      </c>
      <c r="B350">
        <v>230</v>
      </c>
      <c r="C350" t="s">
        <v>55</v>
      </c>
      <c r="D350" t="s">
        <v>1350</v>
      </c>
      <c r="E350" t="s">
        <v>382</v>
      </c>
      <c r="F350" t="s">
        <v>17</v>
      </c>
      <c r="G350">
        <v>0</v>
      </c>
    </row>
  </sheetData>
  <autoFilter ref="A1:S350" xr:uid="{00000000-0001-0000-0100-000000000000}">
    <sortState xmlns:xlrd2="http://schemas.microsoft.com/office/spreadsheetml/2017/richdata2" ref="A2:S350">
      <sortCondition ref="K1:K350"/>
    </sortState>
  </autoFilter>
  <hyperlinks>
    <hyperlink ref="K238" r:id="rId1" xr:uid="{262D4DCA-3306-4CC7-9527-0042CCC6829C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E4"/>
  <sheetViews>
    <sheetView workbookViewId="0">
      <selection activeCell="G6" sqref="G6"/>
    </sheetView>
  </sheetViews>
  <sheetFormatPr baseColWidth="10" defaultRowHeight="15" x14ac:dyDescent="0.25"/>
  <cols>
    <col min="4" max="4" width="15.42578125" customWidth="1"/>
  </cols>
  <sheetData>
    <row r="2" spans="1:5" x14ac:dyDescent="0.25">
      <c r="B2" t="s">
        <v>1408</v>
      </c>
      <c r="C2" t="s">
        <v>1409</v>
      </c>
      <c r="D2" t="s">
        <v>1410</v>
      </c>
      <c r="E2" t="s">
        <v>1411</v>
      </c>
    </row>
    <row r="3" spans="1:5" x14ac:dyDescent="0.25">
      <c r="A3" t="s">
        <v>11</v>
      </c>
      <c r="B3">
        <v>112</v>
      </c>
      <c r="C3">
        <f>B3*0.012</f>
        <v>1.3440000000000001</v>
      </c>
      <c r="D3" s="17">
        <f>((60+35)/60)*B3</f>
        <v>177.33333333333331</v>
      </c>
      <c r="E3" s="16">
        <f>D3/60</f>
        <v>2.9555555555555553</v>
      </c>
    </row>
    <row r="4" spans="1:5" x14ac:dyDescent="0.25">
      <c r="A4" t="s">
        <v>12</v>
      </c>
      <c r="B4">
        <v>123</v>
      </c>
      <c r="C4">
        <f>B4*0.241</f>
        <v>29.643000000000001</v>
      </c>
      <c r="D4" s="17">
        <f>((60+5)/60)*B4</f>
        <v>133.25</v>
      </c>
      <c r="E4" s="16">
        <f>D4/60</f>
        <v>2.2208333333333332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4"/>
  <sheetViews>
    <sheetView topLeftCell="D1" workbookViewId="0">
      <pane ySplit="1" topLeftCell="A7" activePane="bottomLeft" state="frozen"/>
      <selection pane="bottomLeft" activeCell="F1" sqref="F1"/>
    </sheetView>
  </sheetViews>
  <sheetFormatPr baseColWidth="10" defaultColWidth="8.7109375" defaultRowHeight="15" x14ac:dyDescent="0.25"/>
  <cols>
    <col min="1" max="1" width="18" customWidth="1"/>
    <col min="2" max="2" width="22" customWidth="1"/>
    <col min="3" max="3" width="10" customWidth="1"/>
    <col min="4" max="4" width="14" customWidth="1"/>
    <col min="5" max="5" width="22" customWidth="1"/>
    <col min="6" max="6" width="42" customWidth="1"/>
    <col min="7" max="7" width="46" customWidth="1"/>
    <col min="8" max="8" width="14" customWidth="1"/>
  </cols>
  <sheetData>
    <row r="1" spans="1:8" ht="32.1" customHeight="1" x14ac:dyDescent="0.25">
      <c r="A1" s="1" t="s">
        <v>2</v>
      </c>
      <c r="B1" s="1" t="s">
        <v>1351</v>
      </c>
      <c r="C1" s="1" t="s">
        <v>1352</v>
      </c>
      <c r="D1" s="1" t="s">
        <v>1412</v>
      </c>
      <c r="E1" s="1" t="s">
        <v>1413</v>
      </c>
      <c r="F1" s="1" t="s">
        <v>1414</v>
      </c>
      <c r="G1" s="1" t="s">
        <v>1415</v>
      </c>
      <c r="H1" s="1" t="s">
        <v>1416</v>
      </c>
    </row>
    <row r="2" spans="1:8" x14ac:dyDescent="0.25">
      <c r="A2" s="2" t="s">
        <v>14</v>
      </c>
      <c r="B2" s="2" t="s">
        <v>1354</v>
      </c>
      <c r="C2" s="3" t="s">
        <v>1355</v>
      </c>
      <c r="D2" s="11">
        <v>11</v>
      </c>
      <c r="E2" s="4">
        <v>53836</v>
      </c>
      <c r="F2" s="2" t="s">
        <v>278</v>
      </c>
      <c r="G2" s="2" t="s">
        <v>279</v>
      </c>
      <c r="H2" s="4">
        <v>28317</v>
      </c>
    </row>
    <row r="3" spans="1:8" x14ac:dyDescent="0.25">
      <c r="A3" s="5" t="s">
        <v>319</v>
      </c>
      <c r="B3" s="5" t="s">
        <v>1356</v>
      </c>
      <c r="C3" s="6" t="s">
        <v>1357</v>
      </c>
      <c r="D3" s="12">
        <v>14</v>
      </c>
      <c r="E3" s="7">
        <v>117130</v>
      </c>
      <c r="F3" s="5" t="s">
        <v>320</v>
      </c>
      <c r="G3" s="5" t="s">
        <v>321</v>
      </c>
      <c r="H3" s="7">
        <v>35703</v>
      </c>
    </row>
    <row r="4" spans="1:8" x14ac:dyDescent="0.25">
      <c r="A4" s="2" t="s">
        <v>125</v>
      </c>
      <c r="B4" s="2" t="s">
        <v>1358</v>
      </c>
      <c r="C4" s="3" t="s">
        <v>1359</v>
      </c>
      <c r="D4" s="11">
        <v>12</v>
      </c>
      <c r="E4" s="4">
        <v>123383</v>
      </c>
      <c r="F4" s="2" t="s">
        <v>422</v>
      </c>
      <c r="G4" s="2" t="s">
        <v>423</v>
      </c>
      <c r="H4" s="4">
        <v>72593</v>
      </c>
    </row>
    <row r="5" spans="1:8" x14ac:dyDescent="0.25">
      <c r="A5" s="5" t="s">
        <v>39</v>
      </c>
      <c r="B5" s="5" t="s">
        <v>1360</v>
      </c>
      <c r="C5" s="6" t="s">
        <v>1361</v>
      </c>
      <c r="D5" s="12">
        <v>6</v>
      </c>
      <c r="E5" s="7">
        <v>510163</v>
      </c>
      <c r="F5" s="5" t="s">
        <v>40</v>
      </c>
      <c r="G5" s="5" t="s">
        <v>41</v>
      </c>
      <c r="H5" s="7">
        <v>417644</v>
      </c>
    </row>
    <row r="6" spans="1:8" x14ac:dyDescent="0.25">
      <c r="A6" s="2" t="s">
        <v>500</v>
      </c>
      <c r="B6" s="2" t="s">
        <v>1354</v>
      </c>
      <c r="C6" s="3" t="s">
        <v>1362</v>
      </c>
      <c r="D6" s="11">
        <v>9</v>
      </c>
      <c r="E6" s="4">
        <v>148408</v>
      </c>
      <c r="F6" s="2" t="s">
        <v>501</v>
      </c>
      <c r="G6" s="2" t="s">
        <v>502</v>
      </c>
      <c r="H6" s="4">
        <v>64022</v>
      </c>
    </row>
    <row r="7" spans="1:8" x14ac:dyDescent="0.25">
      <c r="A7" s="5" t="s">
        <v>94</v>
      </c>
      <c r="B7" s="5" t="s">
        <v>94</v>
      </c>
      <c r="C7" s="6" t="s">
        <v>1363</v>
      </c>
      <c r="D7" s="12">
        <v>9</v>
      </c>
      <c r="E7" s="7">
        <v>2906741</v>
      </c>
      <c r="F7" s="5" t="s">
        <v>95</v>
      </c>
      <c r="G7" s="5" t="s">
        <v>96</v>
      </c>
      <c r="H7" s="7">
        <v>1499734</v>
      </c>
    </row>
    <row r="8" spans="1:8" x14ac:dyDescent="0.25">
      <c r="A8" s="2" t="s">
        <v>102</v>
      </c>
      <c r="B8" s="2" t="s">
        <v>1358</v>
      </c>
      <c r="C8" s="3" t="s">
        <v>1364</v>
      </c>
      <c r="D8" s="11">
        <v>15</v>
      </c>
      <c r="E8" s="4">
        <v>247630</v>
      </c>
      <c r="F8" s="2" t="s">
        <v>721</v>
      </c>
      <c r="G8" s="2" t="s">
        <v>722</v>
      </c>
      <c r="H8" s="4">
        <v>91418</v>
      </c>
    </row>
    <row r="9" spans="1:8" x14ac:dyDescent="0.25">
      <c r="A9" s="5" t="s">
        <v>479</v>
      </c>
      <c r="B9" s="5" t="s">
        <v>1365</v>
      </c>
      <c r="C9" s="6" t="s">
        <v>1366</v>
      </c>
      <c r="D9" s="12">
        <v>16</v>
      </c>
      <c r="E9" s="7">
        <v>98753</v>
      </c>
      <c r="F9" s="5" t="s">
        <v>486</v>
      </c>
      <c r="G9" s="5" t="s">
        <v>487</v>
      </c>
      <c r="H9" s="7">
        <v>42201</v>
      </c>
    </row>
    <row r="10" spans="1:8" x14ac:dyDescent="0.25">
      <c r="A10" s="2" t="s">
        <v>47</v>
      </c>
      <c r="B10" s="2" t="s">
        <v>1365</v>
      </c>
      <c r="C10" s="3" t="s">
        <v>1367</v>
      </c>
      <c r="D10" s="11">
        <v>10</v>
      </c>
      <c r="E10" s="4">
        <v>703975</v>
      </c>
      <c r="F10" s="2" t="s">
        <v>48</v>
      </c>
      <c r="G10" s="2" t="s">
        <v>49</v>
      </c>
      <c r="H10" s="4">
        <v>318656</v>
      </c>
    </row>
    <row r="11" spans="1:8" x14ac:dyDescent="0.25">
      <c r="A11" s="5" t="s">
        <v>176</v>
      </c>
      <c r="B11" s="5" t="s">
        <v>1368</v>
      </c>
      <c r="C11" s="6" t="s">
        <v>1369</v>
      </c>
      <c r="D11" s="12">
        <v>12</v>
      </c>
      <c r="E11" s="7">
        <v>336038</v>
      </c>
      <c r="F11" s="5" t="s">
        <v>177</v>
      </c>
      <c r="G11" s="5" t="s">
        <v>178</v>
      </c>
      <c r="H11" s="7">
        <v>160548</v>
      </c>
    </row>
    <row r="12" spans="1:8" x14ac:dyDescent="0.25">
      <c r="A12" s="2" t="s">
        <v>212</v>
      </c>
      <c r="B12" s="2" t="s">
        <v>1370</v>
      </c>
      <c r="C12" s="3" t="s">
        <v>1371</v>
      </c>
      <c r="D12" s="11">
        <v>14</v>
      </c>
      <c r="E12" s="4">
        <v>297325</v>
      </c>
      <c r="F12" s="2" t="s">
        <v>374</v>
      </c>
      <c r="G12" s="2" t="s">
        <v>375</v>
      </c>
      <c r="H12" s="4">
        <v>89753</v>
      </c>
    </row>
    <row r="13" spans="1:8" x14ac:dyDescent="0.25">
      <c r="A13" s="5" t="s">
        <v>617</v>
      </c>
      <c r="B13" s="5" t="s">
        <v>1372</v>
      </c>
      <c r="C13" s="6" t="s">
        <v>1373</v>
      </c>
      <c r="D13" s="12">
        <v>5</v>
      </c>
      <c r="E13" s="7">
        <v>76219</v>
      </c>
      <c r="F13" s="5" t="s">
        <v>666</v>
      </c>
      <c r="G13" s="5" t="s">
        <v>667</v>
      </c>
      <c r="H13" s="7">
        <v>24279</v>
      </c>
    </row>
    <row r="14" spans="1:8" x14ac:dyDescent="0.25">
      <c r="A14" s="2" t="s">
        <v>651</v>
      </c>
      <c r="B14" s="2" t="s">
        <v>1354</v>
      </c>
      <c r="C14" s="3" t="s">
        <v>1374</v>
      </c>
      <c r="D14" s="11">
        <v>4</v>
      </c>
      <c r="E14" s="4">
        <v>101798</v>
      </c>
      <c r="F14" s="2" t="s">
        <v>652</v>
      </c>
      <c r="G14" s="2" t="s">
        <v>653</v>
      </c>
      <c r="H14" s="4">
        <v>46865</v>
      </c>
    </row>
    <row r="15" spans="1:8" x14ac:dyDescent="0.25">
      <c r="A15" s="5" t="s">
        <v>347</v>
      </c>
      <c r="B15" s="5" t="s">
        <v>1358</v>
      </c>
      <c r="C15" s="6" t="s">
        <v>1375</v>
      </c>
      <c r="D15" s="12">
        <v>10</v>
      </c>
      <c r="E15" s="7">
        <v>119533</v>
      </c>
      <c r="F15" s="5" t="s">
        <v>409</v>
      </c>
      <c r="G15" s="5" t="s">
        <v>410</v>
      </c>
      <c r="H15" s="7">
        <v>54352</v>
      </c>
    </row>
    <row r="16" spans="1:8" x14ac:dyDescent="0.25">
      <c r="A16" s="2" t="s">
        <v>355</v>
      </c>
      <c r="B16" s="2" t="s">
        <v>1376</v>
      </c>
      <c r="C16" s="3" t="s">
        <v>1377</v>
      </c>
      <c r="D16" s="11">
        <v>9</v>
      </c>
      <c r="E16" s="4">
        <v>223736</v>
      </c>
      <c r="F16" s="2" t="s">
        <v>356</v>
      </c>
      <c r="G16" s="2" t="s">
        <v>357</v>
      </c>
      <c r="H16" s="4">
        <v>74941</v>
      </c>
    </row>
    <row r="17" spans="1:8" x14ac:dyDescent="0.25">
      <c r="A17" s="5" t="s">
        <v>168</v>
      </c>
      <c r="B17" s="5" t="s">
        <v>1354</v>
      </c>
      <c r="C17" s="6" t="s">
        <v>1378</v>
      </c>
      <c r="D17" s="12">
        <v>8</v>
      </c>
      <c r="E17" s="7">
        <v>122894</v>
      </c>
      <c r="F17" s="5" t="s">
        <v>169</v>
      </c>
      <c r="G17" s="5" t="s">
        <v>170</v>
      </c>
      <c r="H17" s="7">
        <v>45874</v>
      </c>
    </row>
    <row r="18" spans="1:8" x14ac:dyDescent="0.25">
      <c r="A18" s="2" t="s">
        <v>388</v>
      </c>
      <c r="B18" s="2" t="s">
        <v>1379</v>
      </c>
      <c r="C18" s="3" t="s">
        <v>1380</v>
      </c>
      <c r="D18" s="11">
        <v>10</v>
      </c>
      <c r="E18" s="4">
        <v>169391</v>
      </c>
      <c r="F18" s="2" t="s">
        <v>389</v>
      </c>
      <c r="G18" s="2" t="s">
        <v>390</v>
      </c>
      <c r="H18" s="4">
        <v>118239</v>
      </c>
    </row>
    <row r="19" spans="1:8" x14ac:dyDescent="0.25">
      <c r="A19" s="5" t="s">
        <v>22</v>
      </c>
      <c r="B19" s="5" t="s">
        <v>1354</v>
      </c>
      <c r="C19" s="6" t="s">
        <v>1381</v>
      </c>
      <c r="D19" s="12">
        <v>14</v>
      </c>
      <c r="E19" s="7">
        <v>882319</v>
      </c>
      <c r="F19" s="5" t="s">
        <v>234</v>
      </c>
      <c r="G19" s="5" t="s">
        <v>235</v>
      </c>
      <c r="H19" s="7">
        <v>697910</v>
      </c>
    </row>
    <row r="20" spans="1:8" x14ac:dyDescent="0.25">
      <c r="A20" s="2" t="s">
        <v>457</v>
      </c>
      <c r="B20" s="2" t="s">
        <v>1382</v>
      </c>
      <c r="C20" s="3" t="s">
        <v>1383</v>
      </c>
      <c r="D20" s="11">
        <v>8</v>
      </c>
      <c r="E20" s="4">
        <v>216820</v>
      </c>
      <c r="F20" s="2" t="s">
        <v>458</v>
      </c>
      <c r="G20" s="2" t="s">
        <v>459</v>
      </c>
      <c r="H20" s="4">
        <v>115657</v>
      </c>
    </row>
    <row r="21" spans="1:8" x14ac:dyDescent="0.25">
      <c r="A21" s="5" t="s">
        <v>255</v>
      </c>
      <c r="B21" s="5" t="s">
        <v>1384</v>
      </c>
      <c r="C21" s="6" t="s">
        <v>1385</v>
      </c>
      <c r="D21" s="12">
        <v>9</v>
      </c>
      <c r="E21" s="7">
        <v>141688</v>
      </c>
      <c r="F21" s="5" t="s">
        <v>256</v>
      </c>
      <c r="G21" s="5" t="s">
        <v>257</v>
      </c>
      <c r="H21" s="7">
        <v>57058</v>
      </c>
    </row>
    <row r="22" spans="1:8" x14ac:dyDescent="0.25">
      <c r="A22" s="2" t="s">
        <v>270</v>
      </c>
      <c r="B22" s="2" t="s">
        <v>1365</v>
      </c>
      <c r="C22" s="3" t="s">
        <v>1386</v>
      </c>
      <c r="D22" s="11">
        <v>10</v>
      </c>
      <c r="E22" s="4">
        <v>129025</v>
      </c>
      <c r="F22" s="2" t="s">
        <v>769</v>
      </c>
      <c r="G22" s="2" t="s">
        <v>770</v>
      </c>
      <c r="H22" s="4">
        <v>57408</v>
      </c>
    </row>
    <row r="23" spans="1:8" x14ac:dyDescent="0.25">
      <c r="A23" s="5" t="s">
        <v>535</v>
      </c>
      <c r="B23" s="5" t="s">
        <v>1387</v>
      </c>
      <c r="C23" s="6" t="s">
        <v>1388</v>
      </c>
      <c r="D23" s="12">
        <v>9</v>
      </c>
      <c r="E23" s="7">
        <v>156986</v>
      </c>
      <c r="F23" s="5" t="s">
        <v>596</v>
      </c>
      <c r="G23" s="5" t="s">
        <v>597</v>
      </c>
      <c r="H23" s="7">
        <v>74571</v>
      </c>
    </row>
    <row r="24" spans="1:8" x14ac:dyDescent="0.25">
      <c r="A24" s="2" t="s">
        <v>514</v>
      </c>
      <c r="B24" s="2" t="s">
        <v>1372</v>
      </c>
      <c r="C24" s="3" t="s">
        <v>1389</v>
      </c>
      <c r="D24" s="11">
        <v>7</v>
      </c>
      <c r="E24" s="4">
        <v>202244</v>
      </c>
      <c r="F24" s="2" t="s">
        <v>569</v>
      </c>
      <c r="G24" s="2" t="s">
        <v>570</v>
      </c>
      <c r="H24" s="4">
        <v>82510</v>
      </c>
    </row>
    <row r="25" spans="1:8" x14ac:dyDescent="0.25">
      <c r="A25" s="5" t="s">
        <v>1150</v>
      </c>
      <c r="B25" s="5" t="s">
        <v>1358</v>
      </c>
      <c r="C25" s="6" t="s">
        <v>1390</v>
      </c>
      <c r="D25" s="12">
        <v>13</v>
      </c>
      <c r="E25" s="7">
        <v>78868</v>
      </c>
      <c r="F25" s="5" t="s">
        <v>1151</v>
      </c>
      <c r="G25" s="5" t="s">
        <v>1152</v>
      </c>
      <c r="H25" s="7">
        <v>27982</v>
      </c>
    </row>
    <row r="26" spans="1:8" x14ac:dyDescent="0.25">
      <c r="A26" s="2" t="s">
        <v>436</v>
      </c>
      <c r="B26" s="2" t="s">
        <v>1391</v>
      </c>
      <c r="C26" s="3" t="s">
        <v>1392</v>
      </c>
      <c r="D26" s="11">
        <v>14</v>
      </c>
      <c r="E26" s="4">
        <v>128742</v>
      </c>
      <c r="F26" s="2" t="s">
        <v>437</v>
      </c>
      <c r="G26" s="2" t="s">
        <v>438</v>
      </c>
      <c r="H26" s="4">
        <v>36917</v>
      </c>
    </row>
    <row r="27" spans="1:8" x14ac:dyDescent="0.25">
      <c r="A27" s="5" t="s">
        <v>63</v>
      </c>
      <c r="B27" s="5" t="s">
        <v>1393</v>
      </c>
      <c r="C27" s="6" t="s">
        <v>1394</v>
      </c>
      <c r="D27" s="12">
        <v>6</v>
      </c>
      <c r="E27" s="7">
        <v>81132</v>
      </c>
      <c r="F27" s="5" t="s">
        <v>248</v>
      </c>
      <c r="G27" s="5" t="s">
        <v>249</v>
      </c>
      <c r="H27" s="7">
        <v>30090</v>
      </c>
    </row>
    <row r="28" spans="1:8" x14ac:dyDescent="0.25">
      <c r="A28" s="2" t="s">
        <v>110</v>
      </c>
      <c r="B28" s="2" t="s">
        <v>1395</v>
      </c>
      <c r="C28" s="3" t="s">
        <v>1396</v>
      </c>
      <c r="D28" s="11">
        <v>18</v>
      </c>
      <c r="E28" s="4">
        <v>398564</v>
      </c>
      <c r="F28" s="2" t="s">
        <v>111</v>
      </c>
      <c r="G28" s="2" t="s">
        <v>112</v>
      </c>
      <c r="H28" s="4">
        <v>85372</v>
      </c>
    </row>
    <row r="29" spans="1:8" x14ac:dyDescent="0.25">
      <c r="A29" s="5" t="s">
        <v>790</v>
      </c>
      <c r="B29" s="5" t="s">
        <v>1397</v>
      </c>
      <c r="C29" s="6" t="s">
        <v>1398</v>
      </c>
      <c r="D29" s="12">
        <v>14</v>
      </c>
      <c r="E29" s="7">
        <v>142136</v>
      </c>
      <c r="F29" s="5" t="s">
        <v>791</v>
      </c>
      <c r="G29" s="5" t="s">
        <v>750</v>
      </c>
      <c r="H29" s="7">
        <v>78838</v>
      </c>
    </row>
    <row r="30" spans="1:8" x14ac:dyDescent="0.25">
      <c r="A30" s="2" t="s">
        <v>71</v>
      </c>
      <c r="B30" s="2" t="s">
        <v>1399</v>
      </c>
      <c r="C30" s="3" t="s">
        <v>1400</v>
      </c>
      <c r="D30" s="11">
        <v>10</v>
      </c>
      <c r="E30" s="4">
        <v>153260</v>
      </c>
      <c r="F30" s="2" t="s">
        <v>450</v>
      </c>
      <c r="G30" s="2" t="s">
        <v>451</v>
      </c>
      <c r="H30" s="4">
        <v>62960</v>
      </c>
    </row>
    <row r="31" spans="1:8" x14ac:dyDescent="0.25">
      <c r="A31" s="5" t="s">
        <v>30</v>
      </c>
      <c r="B31" s="5" t="s">
        <v>1360</v>
      </c>
      <c r="C31" s="6" t="s">
        <v>1401</v>
      </c>
      <c r="D31" s="12">
        <v>11</v>
      </c>
      <c r="E31" s="7">
        <v>177767</v>
      </c>
      <c r="F31" s="5" t="s">
        <v>31</v>
      </c>
      <c r="G31" s="5" t="s">
        <v>32</v>
      </c>
      <c r="H31" s="7">
        <v>85145</v>
      </c>
    </row>
    <row r="32" spans="1:8" x14ac:dyDescent="0.25">
      <c r="A32" s="2" t="s">
        <v>197</v>
      </c>
      <c r="B32" s="2" t="s">
        <v>1402</v>
      </c>
      <c r="C32" s="3" t="s">
        <v>1403</v>
      </c>
      <c r="D32" s="11">
        <v>9</v>
      </c>
      <c r="E32" s="4">
        <v>81169</v>
      </c>
      <c r="F32" s="2" t="s">
        <v>198</v>
      </c>
      <c r="G32" s="2" t="s">
        <v>199</v>
      </c>
      <c r="H32" s="4">
        <v>27338</v>
      </c>
    </row>
    <row r="33" spans="1:8" x14ac:dyDescent="0.25">
      <c r="A33" s="5" t="s">
        <v>86</v>
      </c>
      <c r="B33" s="5" t="s">
        <v>1404</v>
      </c>
      <c r="C33" s="6" t="s">
        <v>1405</v>
      </c>
      <c r="D33" s="12">
        <v>10</v>
      </c>
      <c r="E33" s="7">
        <v>167384</v>
      </c>
      <c r="F33" s="5" t="s">
        <v>220</v>
      </c>
      <c r="G33" s="5" t="s">
        <v>221</v>
      </c>
      <c r="H33" s="7">
        <v>71590</v>
      </c>
    </row>
    <row r="34" spans="1:8" x14ac:dyDescent="0.25">
      <c r="A34" s="2" t="s">
        <v>55</v>
      </c>
      <c r="B34" s="2" t="s">
        <v>1406</v>
      </c>
      <c r="C34" s="3" t="s">
        <v>1407</v>
      </c>
      <c r="D34" s="11">
        <v>16</v>
      </c>
      <c r="E34" s="4">
        <v>212549</v>
      </c>
      <c r="F34" s="2" t="s">
        <v>56</v>
      </c>
      <c r="G34" s="2" t="s">
        <v>57</v>
      </c>
      <c r="H34" s="4">
        <v>70987</v>
      </c>
    </row>
  </sheetData>
  <autoFilter ref="A1:H34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7"/>
  <sheetViews>
    <sheetView workbookViewId="0">
      <pane ySplit="1" topLeftCell="A7" activePane="bottomLeft" state="frozen"/>
      <selection pane="bottomLeft" activeCell="F6" sqref="F6"/>
    </sheetView>
  </sheetViews>
  <sheetFormatPr baseColWidth="10" defaultColWidth="8.7109375" defaultRowHeight="15" x14ac:dyDescent="0.25"/>
  <cols>
    <col min="1" max="1" width="5" customWidth="1"/>
    <col min="2" max="2" width="20" customWidth="1"/>
    <col min="3" max="3" width="22" customWidth="1"/>
    <col min="4" max="4" width="10" customWidth="1"/>
    <col min="5" max="5" width="18" customWidth="1"/>
    <col min="6" max="6" width="50" customWidth="1"/>
  </cols>
  <sheetData>
    <row r="1" spans="1:6" ht="32.1" customHeight="1" x14ac:dyDescent="0.25">
      <c r="A1" s="13" t="s">
        <v>1417</v>
      </c>
      <c r="B1" s="13" t="s">
        <v>2</v>
      </c>
      <c r="C1" s="13" t="s">
        <v>1351</v>
      </c>
      <c r="D1" s="13" t="s">
        <v>1352</v>
      </c>
      <c r="E1" s="13" t="s">
        <v>1418</v>
      </c>
      <c r="F1" s="13" t="s">
        <v>1419</v>
      </c>
    </row>
    <row r="2" spans="1:6" x14ac:dyDescent="0.25">
      <c r="A2" s="3">
        <v>1</v>
      </c>
      <c r="B2" s="2" t="s">
        <v>94</v>
      </c>
      <c r="C2" s="2" t="s">
        <v>94</v>
      </c>
      <c r="D2" s="3" t="s">
        <v>1363</v>
      </c>
      <c r="E2" s="4">
        <v>7181469</v>
      </c>
      <c r="F2" s="2" t="s">
        <v>1420</v>
      </c>
    </row>
    <row r="3" spans="1:6" x14ac:dyDescent="0.25">
      <c r="A3" s="6">
        <v>2</v>
      </c>
      <c r="B3" s="5" t="s">
        <v>22</v>
      </c>
      <c r="C3" s="5" t="s">
        <v>1354</v>
      </c>
      <c r="D3" s="6" t="s">
        <v>1381</v>
      </c>
      <c r="E3" s="7">
        <v>2700453</v>
      </c>
      <c r="F3" s="5" t="s">
        <v>1420</v>
      </c>
    </row>
    <row r="4" spans="1:6" x14ac:dyDescent="0.25">
      <c r="A4" s="3">
        <v>3</v>
      </c>
      <c r="B4" s="2" t="s">
        <v>47</v>
      </c>
      <c r="C4" s="2" t="s">
        <v>1365</v>
      </c>
      <c r="D4" s="3" t="s">
        <v>1367</v>
      </c>
      <c r="E4" s="4">
        <v>2252616</v>
      </c>
      <c r="F4" s="2" t="s">
        <v>1420</v>
      </c>
    </row>
    <row r="5" spans="1:6" x14ac:dyDescent="0.25">
      <c r="A5" s="6">
        <v>4</v>
      </c>
      <c r="B5" s="5" t="s">
        <v>39</v>
      </c>
      <c r="C5" s="5" t="s">
        <v>1360</v>
      </c>
      <c r="D5" s="6" t="s">
        <v>1361</v>
      </c>
      <c r="E5" s="7">
        <v>1274250</v>
      </c>
      <c r="F5" s="5" t="s">
        <v>1420</v>
      </c>
    </row>
    <row r="6" spans="1:6" x14ac:dyDescent="0.25">
      <c r="A6" s="3">
        <v>5</v>
      </c>
      <c r="B6" s="2" t="s">
        <v>176</v>
      </c>
      <c r="C6" s="2" t="s">
        <v>1368</v>
      </c>
      <c r="D6" s="3" t="s">
        <v>1369</v>
      </c>
      <c r="E6" s="4">
        <v>1081577</v>
      </c>
      <c r="F6" s="2" t="s">
        <v>1420</v>
      </c>
    </row>
    <row r="7" spans="1:6" x14ac:dyDescent="0.25">
      <c r="A7" s="6">
        <v>6</v>
      </c>
      <c r="B7" s="5" t="s">
        <v>212</v>
      </c>
      <c r="C7" s="5" t="s">
        <v>1370</v>
      </c>
      <c r="D7" s="6" t="s">
        <v>1371</v>
      </c>
      <c r="E7" s="7">
        <v>773239</v>
      </c>
      <c r="F7" s="5" t="s">
        <v>1420</v>
      </c>
    </row>
    <row r="8" spans="1:6" x14ac:dyDescent="0.25">
      <c r="A8" s="3">
        <v>7</v>
      </c>
      <c r="B8" s="2" t="s">
        <v>30</v>
      </c>
      <c r="C8" s="2" t="s">
        <v>1360</v>
      </c>
      <c r="D8" s="3" t="s">
        <v>1401</v>
      </c>
      <c r="E8" s="4">
        <v>764068</v>
      </c>
      <c r="F8" s="2" t="s">
        <v>1420</v>
      </c>
    </row>
    <row r="9" spans="1:6" x14ac:dyDescent="0.25">
      <c r="A9" s="6">
        <v>8</v>
      </c>
      <c r="B9" s="5" t="s">
        <v>71</v>
      </c>
      <c r="C9" s="5" t="s">
        <v>1399</v>
      </c>
      <c r="D9" s="6" t="s">
        <v>1400</v>
      </c>
      <c r="E9" s="7">
        <v>743573</v>
      </c>
      <c r="F9" s="5" t="s">
        <v>1420</v>
      </c>
    </row>
    <row r="10" spans="1:6" x14ac:dyDescent="0.25">
      <c r="A10" s="3">
        <v>9</v>
      </c>
      <c r="B10" s="2" t="s">
        <v>355</v>
      </c>
      <c r="C10" s="2" t="s">
        <v>1376</v>
      </c>
      <c r="D10" s="3" t="s">
        <v>1377</v>
      </c>
      <c r="E10" s="4">
        <v>581130</v>
      </c>
      <c r="F10" s="2" t="s">
        <v>1420</v>
      </c>
    </row>
    <row r="11" spans="1:6" x14ac:dyDescent="0.25">
      <c r="A11" s="6">
        <v>10</v>
      </c>
      <c r="B11" s="5" t="s">
        <v>102</v>
      </c>
      <c r="C11" s="5" t="s">
        <v>1358</v>
      </c>
      <c r="D11" s="6" t="s">
        <v>1364</v>
      </c>
      <c r="E11" s="7">
        <v>541607</v>
      </c>
      <c r="F11" s="5" t="s">
        <v>1420</v>
      </c>
    </row>
    <row r="12" spans="1:6" x14ac:dyDescent="0.25">
      <c r="A12" s="3">
        <v>11</v>
      </c>
      <c r="B12" s="2" t="s">
        <v>110</v>
      </c>
      <c r="C12" s="2" t="s">
        <v>1395</v>
      </c>
      <c r="D12" s="3" t="s">
        <v>1396</v>
      </c>
      <c r="E12" s="4">
        <v>527949</v>
      </c>
      <c r="F12" s="2" t="s">
        <v>1420</v>
      </c>
    </row>
    <row r="13" spans="1:6" x14ac:dyDescent="0.25">
      <c r="A13" s="6">
        <v>12</v>
      </c>
      <c r="B13" s="5" t="s">
        <v>500</v>
      </c>
      <c r="C13" s="5" t="s">
        <v>1354</v>
      </c>
      <c r="D13" s="6" t="s">
        <v>1362</v>
      </c>
      <c r="E13" s="7">
        <v>524360</v>
      </c>
      <c r="F13" s="5" t="s">
        <v>1420</v>
      </c>
    </row>
    <row r="14" spans="1:6" x14ac:dyDescent="0.25">
      <c r="A14" s="3">
        <v>13</v>
      </c>
      <c r="B14" s="2" t="s">
        <v>514</v>
      </c>
      <c r="C14" s="2" t="s">
        <v>1372</v>
      </c>
      <c r="D14" s="3" t="s">
        <v>1389</v>
      </c>
      <c r="E14" s="4">
        <v>483865</v>
      </c>
      <c r="F14" s="2" t="s">
        <v>1420</v>
      </c>
    </row>
    <row r="15" spans="1:6" x14ac:dyDescent="0.25">
      <c r="A15" s="6">
        <v>14</v>
      </c>
      <c r="B15" s="5" t="s">
        <v>457</v>
      </c>
      <c r="C15" s="5" t="s">
        <v>1382</v>
      </c>
      <c r="D15" s="6" t="s">
        <v>1383</v>
      </c>
      <c r="E15" s="7">
        <v>477036</v>
      </c>
      <c r="F15" s="5" t="s">
        <v>1420</v>
      </c>
    </row>
    <row r="16" spans="1:6" x14ac:dyDescent="0.25">
      <c r="A16" s="3">
        <v>15</v>
      </c>
      <c r="B16" s="2" t="s">
        <v>86</v>
      </c>
      <c r="C16" s="2" t="s">
        <v>1404</v>
      </c>
      <c r="D16" s="3" t="s">
        <v>1405</v>
      </c>
      <c r="E16" s="4">
        <v>470498</v>
      </c>
      <c r="F16" s="2" t="s">
        <v>1420</v>
      </c>
    </row>
    <row r="17" spans="1:6" x14ac:dyDescent="0.25">
      <c r="A17" s="6">
        <v>16</v>
      </c>
      <c r="B17" s="5" t="s">
        <v>535</v>
      </c>
      <c r="C17" s="5" t="s">
        <v>1387</v>
      </c>
      <c r="D17" s="6" t="s">
        <v>1388</v>
      </c>
      <c r="E17" s="7">
        <v>448737</v>
      </c>
      <c r="F17" s="5" t="s">
        <v>1420</v>
      </c>
    </row>
    <row r="18" spans="1:6" x14ac:dyDescent="0.25">
      <c r="A18" s="3">
        <v>17</v>
      </c>
      <c r="B18" s="2" t="s">
        <v>479</v>
      </c>
      <c r="C18" s="2" t="s">
        <v>1365</v>
      </c>
      <c r="D18" s="3" t="s">
        <v>1366</v>
      </c>
      <c r="E18" s="4">
        <v>430307</v>
      </c>
      <c r="F18" s="2" t="s">
        <v>1420</v>
      </c>
    </row>
    <row r="19" spans="1:6" x14ac:dyDescent="0.25">
      <c r="A19" s="6">
        <v>18</v>
      </c>
      <c r="B19" s="5" t="s">
        <v>55</v>
      </c>
      <c r="C19" s="5" t="s">
        <v>1406</v>
      </c>
      <c r="D19" s="6" t="s">
        <v>1407</v>
      </c>
      <c r="E19" s="7">
        <v>419029</v>
      </c>
      <c r="F19" s="5" t="s">
        <v>1420</v>
      </c>
    </row>
    <row r="20" spans="1:6" x14ac:dyDescent="0.25">
      <c r="A20" s="3">
        <v>19</v>
      </c>
      <c r="B20" s="2" t="s">
        <v>388</v>
      </c>
      <c r="C20" s="2" t="s">
        <v>1379</v>
      </c>
      <c r="D20" s="3" t="s">
        <v>1380</v>
      </c>
      <c r="E20" s="4">
        <v>416979</v>
      </c>
      <c r="F20" s="2" t="s">
        <v>1420</v>
      </c>
    </row>
    <row r="21" spans="1:6" x14ac:dyDescent="0.25">
      <c r="A21" s="6">
        <v>20</v>
      </c>
      <c r="B21" s="5" t="s">
        <v>255</v>
      </c>
      <c r="C21" s="5" t="s">
        <v>1384</v>
      </c>
      <c r="D21" s="6" t="s">
        <v>1385</v>
      </c>
      <c r="E21" s="7">
        <v>358639</v>
      </c>
      <c r="F21" s="5" t="s">
        <v>1420</v>
      </c>
    </row>
    <row r="22" spans="1:6" x14ac:dyDescent="0.25">
      <c r="A22" s="3">
        <v>21</v>
      </c>
      <c r="B22" s="2" t="s">
        <v>436</v>
      </c>
      <c r="C22" s="2" t="s">
        <v>1391</v>
      </c>
      <c r="D22" s="3" t="s">
        <v>1392</v>
      </c>
      <c r="E22" s="4">
        <v>352619</v>
      </c>
      <c r="F22" s="2" t="s">
        <v>1420</v>
      </c>
    </row>
    <row r="23" spans="1:6" x14ac:dyDescent="0.25">
      <c r="A23" s="6">
        <v>22</v>
      </c>
      <c r="B23" s="5" t="s">
        <v>270</v>
      </c>
      <c r="C23" s="5" t="s">
        <v>1365</v>
      </c>
      <c r="D23" s="6" t="s">
        <v>1386</v>
      </c>
      <c r="E23" s="7">
        <v>321772</v>
      </c>
      <c r="F23" s="5" t="s">
        <v>1420</v>
      </c>
    </row>
    <row r="24" spans="1:6" x14ac:dyDescent="0.25">
      <c r="A24" s="3">
        <v>23</v>
      </c>
      <c r="B24" s="2" t="s">
        <v>790</v>
      </c>
      <c r="C24" s="2" t="s">
        <v>1397</v>
      </c>
      <c r="D24" s="3" t="s">
        <v>1398</v>
      </c>
      <c r="E24" s="4">
        <v>316032</v>
      </c>
      <c r="F24" s="2" t="s">
        <v>1420</v>
      </c>
    </row>
    <row r="25" spans="1:6" x14ac:dyDescent="0.25">
      <c r="A25" s="6">
        <v>24</v>
      </c>
      <c r="B25" s="5" t="s">
        <v>319</v>
      </c>
      <c r="C25" s="5" t="s">
        <v>1356</v>
      </c>
      <c r="D25" s="6" t="s">
        <v>1357</v>
      </c>
      <c r="E25" s="7">
        <v>305058</v>
      </c>
      <c r="F25" s="5" t="s">
        <v>1420</v>
      </c>
    </row>
    <row r="26" spans="1:6" x14ac:dyDescent="0.25">
      <c r="A26" s="3">
        <v>25</v>
      </c>
      <c r="B26" s="2" t="s">
        <v>63</v>
      </c>
      <c r="C26" s="2" t="s">
        <v>1393</v>
      </c>
      <c r="D26" s="3" t="s">
        <v>1394</v>
      </c>
      <c r="E26" s="4">
        <v>281054</v>
      </c>
      <c r="F26" s="2" t="s">
        <v>1420</v>
      </c>
    </row>
    <row r="27" spans="1:6" x14ac:dyDescent="0.25">
      <c r="A27" s="6">
        <v>26</v>
      </c>
      <c r="B27" s="5" t="s">
        <v>347</v>
      </c>
      <c r="C27" s="5" t="s">
        <v>1358</v>
      </c>
      <c r="D27" s="6" t="s">
        <v>1375</v>
      </c>
      <c r="E27" s="7">
        <v>279426</v>
      </c>
      <c r="F27" s="5" t="s">
        <v>1420</v>
      </c>
    </row>
    <row r="28" spans="1:6" x14ac:dyDescent="0.25">
      <c r="A28" s="3">
        <v>27</v>
      </c>
      <c r="B28" s="2" t="s">
        <v>168</v>
      </c>
      <c r="C28" s="2" t="s">
        <v>1354</v>
      </c>
      <c r="D28" s="3" t="s">
        <v>1378</v>
      </c>
      <c r="E28" s="4">
        <v>276122</v>
      </c>
      <c r="F28" s="2" t="s">
        <v>1420</v>
      </c>
    </row>
    <row r="29" spans="1:6" x14ac:dyDescent="0.25">
      <c r="A29" s="6">
        <v>28</v>
      </c>
      <c r="B29" s="5" t="s">
        <v>651</v>
      </c>
      <c r="C29" s="5" t="s">
        <v>1354</v>
      </c>
      <c r="D29" s="6" t="s">
        <v>1374</v>
      </c>
      <c r="E29" s="7">
        <v>243071</v>
      </c>
      <c r="F29" s="5" t="s">
        <v>1420</v>
      </c>
    </row>
    <row r="30" spans="1:6" x14ac:dyDescent="0.25">
      <c r="A30" s="3">
        <v>29</v>
      </c>
      <c r="B30" s="2" t="s">
        <v>125</v>
      </c>
      <c r="C30" s="2" t="s">
        <v>1358</v>
      </c>
      <c r="D30" s="3" t="s">
        <v>1359</v>
      </c>
      <c r="E30" s="4">
        <v>234682</v>
      </c>
      <c r="F30" s="2" t="s">
        <v>1420</v>
      </c>
    </row>
    <row r="31" spans="1:6" x14ac:dyDescent="0.25">
      <c r="A31" s="6">
        <v>30</v>
      </c>
      <c r="B31" s="5" t="s">
        <v>617</v>
      </c>
      <c r="C31" s="5" t="s">
        <v>1372</v>
      </c>
      <c r="D31" s="6" t="s">
        <v>1373</v>
      </c>
      <c r="E31" s="7">
        <v>225398</v>
      </c>
      <c r="F31" s="5" t="s">
        <v>1420</v>
      </c>
    </row>
    <row r="32" spans="1:6" x14ac:dyDescent="0.25">
      <c r="A32" s="3">
        <v>31</v>
      </c>
      <c r="B32" s="2" t="s">
        <v>197</v>
      </c>
      <c r="C32" s="2" t="s">
        <v>1402</v>
      </c>
      <c r="D32" s="3" t="s">
        <v>1403</v>
      </c>
      <c r="E32" s="4">
        <v>205001</v>
      </c>
      <c r="F32" s="2" t="s">
        <v>1420</v>
      </c>
    </row>
    <row r="33" spans="1:6" x14ac:dyDescent="0.25">
      <c r="A33" s="6">
        <v>32</v>
      </c>
      <c r="B33" s="5" t="s">
        <v>14</v>
      </c>
      <c r="C33" s="5" t="s">
        <v>1354</v>
      </c>
      <c r="D33" s="6" t="s">
        <v>1355</v>
      </c>
      <c r="E33" s="7">
        <v>198412</v>
      </c>
      <c r="F33" s="5" t="s">
        <v>1420</v>
      </c>
    </row>
    <row r="34" spans="1:6" x14ac:dyDescent="0.25">
      <c r="A34" s="3">
        <v>33</v>
      </c>
      <c r="B34" s="2" t="s">
        <v>1150</v>
      </c>
      <c r="C34" s="2" t="s">
        <v>1358</v>
      </c>
      <c r="D34" s="3" t="s">
        <v>1390</v>
      </c>
      <c r="E34" s="4">
        <v>196084</v>
      </c>
      <c r="F34" s="2" t="s">
        <v>1420</v>
      </c>
    </row>
    <row r="35" spans="1:6" x14ac:dyDescent="0.25">
      <c r="A35" s="14"/>
      <c r="B35" s="14" t="s">
        <v>1421</v>
      </c>
      <c r="C35" s="14"/>
      <c r="D35" s="14"/>
      <c r="E35" s="15">
        <f>SUM(E2:E34)</f>
        <v>25886112</v>
      </c>
      <c r="F35" s="14"/>
    </row>
    <row r="37" spans="1:6" x14ac:dyDescent="0.25">
      <c r="A37" s="19" t="s">
        <v>1422</v>
      </c>
      <c r="B37" s="20"/>
      <c r="C37" s="20"/>
      <c r="D37" s="20"/>
      <c r="E37" s="20"/>
      <c r="F37" s="20"/>
    </row>
  </sheetData>
  <autoFilter ref="A1:F34" xr:uid="{00000000-0009-0000-0000-000004000000}"/>
  <mergeCells count="1">
    <mergeCell ref="A37:F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Candidatos E-26 ALC</vt:lpstr>
      <vt:lpstr>Redes Sociales</vt:lpstr>
      <vt:lpstr>Hoja1</vt:lpstr>
      <vt:lpstr>Resumen por Municipio</vt:lpstr>
      <vt:lpstr>Población 2023 (DANE)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Diego Sotelo Aguilar</cp:lastModifiedBy>
  <dcterms:created xsi:type="dcterms:W3CDTF">2026-04-02T19:25:57Z</dcterms:created>
  <dcterms:modified xsi:type="dcterms:W3CDTF">2026-06-17T20:08:20Z</dcterms:modified>
</cp:coreProperties>
</file>