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soag\Downloads\Github\Avances_tesis\Colombia\"/>
    </mc:Choice>
  </mc:AlternateContent>
  <xr:revisionPtr revIDLastSave="0" documentId="13_ncr:1_{660A83B6-8F22-4201-B938-9D9F000E5E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didatos E-26 ALC" sheetId="1" r:id="rId1"/>
    <sheet name="Redes Sociales" sheetId="2" r:id="rId2"/>
    <sheet name="Hoja1" sheetId="5" r:id="rId3"/>
    <sheet name="Resumen por Municipio" sheetId="3" r:id="rId4"/>
    <sheet name="Población 2023 (DANE)" sheetId="4" r:id="rId5"/>
  </sheets>
  <definedNames>
    <definedName name="_xlnm._FilterDatabase" localSheetId="0" hidden="1">'Candidatos E-26 ALC'!$A$1:$I$351</definedName>
    <definedName name="_xlnm._FilterDatabase" localSheetId="4" hidden="1">'Población 2023 (DANE)'!$A$1:$F$34</definedName>
    <definedName name="_xlnm._FilterDatabase" localSheetId="1" hidden="1">'Redes Sociales'!$A$1:$M$350</definedName>
    <definedName name="_xlnm._FilterDatabase" localSheetId="3" hidden="1">'Resumen por Municipio'!$A$1:$H$34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E4" i="5" s="1"/>
  <c r="C4" i="5"/>
  <c r="C3" i="5"/>
  <c r="E3" i="5"/>
  <c r="D3" i="5"/>
  <c r="B9" i="2"/>
  <c r="B7" i="2"/>
  <c r="B2" i="2"/>
  <c r="B3" i="2"/>
  <c r="B5" i="2"/>
  <c r="B8" i="2"/>
  <c r="B10" i="2"/>
  <c r="B11" i="2"/>
  <c r="B6" i="2"/>
  <c r="B12" i="2"/>
  <c r="B26" i="2"/>
  <c r="B23" i="2"/>
  <c r="B15" i="2"/>
  <c r="B17" i="2"/>
  <c r="B21" i="2"/>
  <c r="B19" i="2"/>
  <c r="B18" i="2"/>
  <c r="B24" i="2"/>
  <c r="B20" i="2"/>
  <c r="B16" i="2"/>
  <c r="B22" i="2"/>
  <c r="B25" i="2"/>
  <c r="B13" i="2"/>
  <c r="B14" i="2"/>
  <c r="B35" i="2"/>
  <c r="B32" i="2"/>
  <c r="B29" i="2"/>
  <c r="B31" i="2"/>
  <c r="B27" i="2"/>
  <c r="B28" i="2"/>
  <c r="B33" i="2"/>
  <c r="B36" i="2"/>
  <c r="B34" i="2"/>
  <c r="B30" i="2"/>
  <c r="B38" i="2"/>
  <c r="B37" i="2"/>
  <c r="B42" i="2"/>
  <c r="B39" i="2"/>
  <c r="B43" i="2"/>
  <c r="B44" i="2"/>
  <c r="B40" i="2"/>
  <c r="B41" i="2"/>
  <c r="B47" i="2"/>
  <c r="B49" i="2"/>
  <c r="B45" i="2"/>
  <c r="B51" i="2"/>
  <c r="B48" i="2"/>
  <c r="B52" i="2"/>
  <c r="B50" i="2"/>
  <c r="B46" i="2"/>
  <c r="B53" i="2"/>
  <c r="B60" i="2"/>
  <c r="B58" i="2"/>
  <c r="B57" i="2"/>
  <c r="B61" i="2"/>
  <c r="B54" i="2"/>
  <c r="B56" i="2"/>
  <c r="B62" i="2"/>
  <c r="B55" i="2"/>
  <c r="B59" i="2"/>
  <c r="B63" i="2"/>
  <c r="B65" i="2"/>
  <c r="B67" i="2"/>
  <c r="B73" i="2"/>
  <c r="B75" i="2"/>
  <c r="B74" i="2"/>
  <c r="B76" i="2"/>
  <c r="B64" i="2"/>
  <c r="B71" i="2"/>
  <c r="B77" i="2"/>
  <c r="B70" i="2"/>
  <c r="B69" i="2"/>
  <c r="B68" i="2"/>
  <c r="B72" i="2"/>
  <c r="B66" i="2"/>
  <c r="B92" i="2"/>
  <c r="B86" i="2"/>
  <c r="B90" i="2"/>
  <c r="B84" i="2"/>
  <c r="B93" i="2"/>
  <c r="B81" i="2"/>
  <c r="B83" i="2"/>
  <c r="B88" i="2"/>
  <c r="B87" i="2"/>
  <c r="B79" i="2"/>
  <c r="B82" i="2"/>
  <c r="B85" i="2"/>
  <c r="B91" i="2"/>
  <c r="B89" i="2"/>
  <c r="B78" i="2"/>
  <c r="B80" i="2"/>
  <c r="B103" i="2"/>
  <c r="B94" i="2"/>
  <c r="B102" i="2"/>
  <c r="B100" i="2"/>
  <c r="B97" i="2"/>
  <c r="B98" i="2"/>
  <c r="B95" i="2"/>
  <c r="B101" i="2"/>
  <c r="B96" i="2"/>
  <c r="B99" i="2"/>
  <c r="B115" i="2"/>
  <c r="B107" i="2"/>
  <c r="B109" i="2"/>
  <c r="B112" i="2"/>
  <c r="B111" i="2"/>
  <c r="B114" i="2"/>
  <c r="B110" i="2"/>
  <c r="B113" i="2"/>
  <c r="B108" i="2"/>
  <c r="B105" i="2"/>
  <c r="B106" i="2"/>
  <c r="B104" i="2"/>
  <c r="B128" i="2"/>
  <c r="B125" i="2"/>
  <c r="B129" i="2"/>
  <c r="B126" i="2"/>
  <c r="B124" i="2"/>
  <c r="B122" i="2"/>
  <c r="B119" i="2"/>
  <c r="B127" i="2"/>
  <c r="B123" i="2"/>
  <c r="B118" i="2"/>
  <c r="B116" i="2"/>
  <c r="B121" i="2"/>
  <c r="B117" i="2"/>
  <c r="B120" i="2"/>
  <c r="B133" i="2"/>
  <c r="B134" i="2"/>
  <c r="B130" i="2"/>
  <c r="B132" i="2"/>
  <c r="B131" i="2"/>
  <c r="B135" i="2"/>
  <c r="B136" i="2"/>
  <c r="B137" i="2"/>
  <c r="B138" i="2"/>
  <c r="B147" i="2"/>
  <c r="B143" i="2"/>
  <c r="B148" i="2"/>
  <c r="B139" i="2"/>
  <c r="B146" i="2"/>
  <c r="B145" i="2"/>
  <c r="B141" i="2"/>
  <c r="B144" i="2"/>
  <c r="B142" i="2"/>
  <c r="B140" i="2"/>
  <c r="B150" i="2"/>
  <c r="B156" i="2"/>
  <c r="B152" i="2"/>
  <c r="B157" i="2"/>
  <c r="B154" i="2"/>
  <c r="B151" i="2"/>
  <c r="B149" i="2"/>
  <c r="B155" i="2"/>
  <c r="B153" i="2"/>
  <c r="B164" i="2"/>
  <c r="B160" i="2"/>
  <c r="B158" i="2"/>
  <c r="B161" i="2"/>
  <c r="B159" i="2"/>
  <c r="B165" i="2"/>
  <c r="B162" i="2"/>
  <c r="B163" i="2"/>
  <c r="B166" i="2"/>
  <c r="B169" i="2"/>
  <c r="B173" i="2"/>
  <c r="B174" i="2"/>
  <c r="B168" i="2"/>
  <c r="B170" i="2"/>
  <c r="B172" i="2"/>
  <c r="B175" i="2"/>
  <c r="B171" i="2"/>
  <c r="B167" i="2"/>
  <c r="B176" i="2"/>
  <c r="B185" i="2"/>
  <c r="B189" i="2"/>
  <c r="B181" i="2"/>
  <c r="B182" i="2"/>
  <c r="B184" i="2"/>
  <c r="B183" i="2"/>
  <c r="B188" i="2"/>
  <c r="B186" i="2"/>
  <c r="B178" i="2"/>
  <c r="B179" i="2"/>
  <c r="B177" i="2"/>
  <c r="B187" i="2"/>
  <c r="B180" i="2"/>
  <c r="B197" i="2"/>
  <c r="B195" i="2"/>
  <c r="B192" i="2"/>
  <c r="B196" i="2"/>
  <c r="B194" i="2"/>
  <c r="B191" i="2"/>
  <c r="B193" i="2"/>
  <c r="B190" i="2"/>
  <c r="B199" i="2"/>
  <c r="B203" i="2"/>
  <c r="B205" i="2"/>
  <c r="B202" i="2"/>
  <c r="B206" i="2"/>
  <c r="B201" i="2"/>
  <c r="B198" i="2"/>
  <c r="B200" i="2"/>
  <c r="B204" i="2"/>
  <c r="B212" i="2"/>
  <c r="B211" i="2"/>
  <c r="B208" i="2"/>
  <c r="B215" i="2"/>
  <c r="B210" i="2"/>
  <c r="B213" i="2"/>
  <c r="B207" i="2"/>
  <c r="B216" i="2"/>
  <c r="B209" i="2"/>
  <c r="B214" i="2"/>
  <c r="B225" i="2"/>
  <c r="B222" i="2"/>
  <c r="B219" i="2"/>
  <c r="B218" i="2"/>
  <c r="B224" i="2"/>
  <c r="B217" i="2"/>
  <c r="B221" i="2"/>
  <c r="B220" i="2"/>
  <c r="B223" i="2"/>
  <c r="B227" i="2"/>
  <c r="B231" i="2"/>
  <c r="B229" i="2"/>
  <c r="B232" i="2"/>
  <c r="B230" i="2"/>
  <c r="B226" i="2"/>
  <c r="B228" i="2"/>
  <c r="B237" i="2"/>
  <c r="B235" i="2"/>
  <c r="B239" i="2"/>
  <c r="B243" i="2"/>
  <c r="B242" i="2"/>
  <c r="B238" i="2"/>
  <c r="B244" i="2"/>
  <c r="B240" i="2"/>
  <c r="B245" i="2"/>
  <c r="B233" i="2"/>
  <c r="B236" i="2"/>
  <c r="B241" i="2"/>
  <c r="B234" i="2"/>
  <c r="B248" i="2"/>
  <c r="B255" i="2"/>
  <c r="B259" i="2"/>
  <c r="B254" i="2"/>
  <c r="B253" i="2"/>
  <c r="B257" i="2"/>
  <c r="B252" i="2"/>
  <c r="B256" i="2"/>
  <c r="B247" i="2"/>
  <c r="B246" i="2"/>
  <c r="B251" i="2"/>
  <c r="B250" i="2"/>
  <c r="B249" i="2"/>
  <c r="B258" i="2"/>
  <c r="B264" i="2"/>
  <c r="B263" i="2"/>
  <c r="B260" i="2"/>
  <c r="B262" i="2"/>
  <c r="B265" i="2"/>
  <c r="B261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3" i="2"/>
  <c r="B291" i="2"/>
  <c r="B282" i="2"/>
  <c r="B286" i="2"/>
  <c r="B285" i="2"/>
  <c r="B290" i="2"/>
  <c r="B288" i="2"/>
  <c r="B294" i="2"/>
  <c r="B287" i="2"/>
  <c r="B284" i="2"/>
  <c r="B293" i="2"/>
  <c r="B289" i="2"/>
  <c r="B292" i="2"/>
  <c r="B281" i="2"/>
  <c r="B301" i="2"/>
  <c r="B300" i="2"/>
  <c r="B302" i="2"/>
  <c r="B303" i="2"/>
  <c r="B304" i="2"/>
  <c r="B295" i="2"/>
  <c r="B297" i="2"/>
  <c r="B298" i="2"/>
  <c r="B296" i="2"/>
  <c r="B299" i="2"/>
  <c r="B306" i="2"/>
  <c r="B310" i="2"/>
  <c r="B314" i="2"/>
  <c r="B309" i="2"/>
  <c r="B313" i="2"/>
  <c r="B308" i="2"/>
  <c r="B305" i="2"/>
  <c r="B307" i="2"/>
  <c r="B311" i="2"/>
  <c r="B315" i="2"/>
  <c r="B312" i="2"/>
  <c r="B318" i="2"/>
  <c r="B323" i="2"/>
  <c r="B324" i="2"/>
  <c r="B322" i="2"/>
  <c r="B321" i="2"/>
  <c r="B320" i="2"/>
  <c r="B319" i="2"/>
  <c r="B317" i="2"/>
  <c r="B316" i="2"/>
  <c r="B330" i="2"/>
  <c r="B329" i="2"/>
  <c r="B334" i="2"/>
  <c r="B333" i="2"/>
  <c r="B326" i="2"/>
  <c r="B328" i="2"/>
  <c r="B325" i="2"/>
  <c r="B327" i="2"/>
  <c r="B332" i="2"/>
  <c r="B331" i="2"/>
  <c r="B339" i="2"/>
  <c r="B347" i="2"/>
  <c r="B336" i="2"/>
  <c r="B341" i="2"/>
  <c r="B335" i="2"/>
  <c r="B348" i="2"/>
  <c r="B343" i="2"/>
  <c r="B338" i="2"/>
  <c r="B342" i="2"/>
  <c r="B350" i="2"/>
  <c r="B344" i="2"/>
  <c r="B346" i="2"/>
  <c r="B340" i="2"/>
  <c r="B345" i="2"/>
  <c r="B349" i="2"/>
  <c r="B337" i="2"/>
  <c r="B4" i="2"/>
  <c r="E35" i="4"/>
</calcChain>
</file>

<file path=xl/sharedStrings.xml><?xml version="1.0" encoding="utf-8"?>
<sst xmlns="http://schemas.openxmlformats.org/spreadsheetml/2006/main" count="5011" uniqueCount="1431">
  <si>
    <t>ID Candidato</t>
  </si>
  <si>
    <t>Municipio</t>
  </si>
  <si>
    <t>Departamento</t>
  </si>
  <si>
    <t>DIVIPOLA</t>
  </si>
  <si>
    <t>Cód</t>
  </si>
  <si>
    <t>Candidato</t>
  </si>
  <si>
    <t>Partido / Movimiento Político</t>
  </si>
  <si>
    <t>Votos</t>
  </si>
  <si>
    <t>Ganador</t>
  </si>
  <si>
    <t>COL-05045-001</t>
  </si>
  <si>
    <t>Apartadó</t>
  </si>
  <si>
    <t>Antioquia</t>
  </si>
  <si>
    <t>05045</t>
  </si>
  <si>
    <t>Adolfo Leon Tabares Gutierrez</t>
  </si>
  <si>
    <t>Movimiento Salvación Nacional</t>
  </si>
  <si>
    <t>No</t>
  </si>
  <si>
    <t>COL-05045-002</t>
  </si>
  <si>
    <t>Luis Gonzalo Giraldo Aguirre</t>
  </si>
  <si>
    <t>Agrupación Política en Marcha</t>
  </si>
  <si>
    <t>COL-05045-003</t>
  </si>
  <si>
    <t>John Jaime Urrea Chica</t>
  </si>
  <si>
    <t>Partido Colombia Justa Libres</t>
  </si>
  <si>
    <t>COL-05045-004</t>
  </si>
  <si>
    <t>Hector Rangel Palacios Rodriguez</t>
  </si>
  <si>
    <t>Unidos por la Vida</t>
  </si>
  <si>
    <t>Sí</t>
  </si>
  <si>
    <t>COL-05045-005</t>
  </si>
  <si>
    <t>Adolfo David Romero Benitez</t>
  </si>
  <si>
    <t>Partido Conservador Colombiano</t>
  </si>
  <si>
    <t>COL-05045-006</t>
  </si>
  <si>
    <t>Luis Augusto Medina Pulgarin</t>
  </si>
  <si>
    <t>Partido Político Dignidad &amp; Compromiso</t>
  </si>
  <si>
    <t>COL-05045-007</t>
  </si>
  <si>
    <t>Luis Enrique Teran Mosquera</t>
  </si>
  <si>
    <t>Partido Político Esperanza Democrática</t>
  </si>
  <si>
    <t>COL-05045-008</t>
  </si>
  <si>
    <t>Henry Cordoba Rivas</t>
  </si>
  <si>
    <t>Movimiento Político Colombia Humana</t>
  </si>
  <si>
    <t>COL-05045-009</t>
  </si>
  <si>
    <t>Jhon Fredis Cordoba Perea</t>
  </si>
  <si>
    <t>Partido Político Gente en Movimiento</t>
  </si>
  <si>
    <t>COL-05045-010</t>
  </si>
  <si>
    <t>Fredy Edison Largo Suarez</t>
  </si>
  <si>
    <t>Pacto Histórico</t>
  </si>
  <si>
    <t>COL-05045-011</t>
  </si>
  <si>
    <t>Ricardo Leon Camargo Ortiz</t>
  </si>
  <si>
    <t>Apartadó Vamos con Toda</t>
  </si>
  <si>
    <t>COL-63001-001</t>
  </si>
  <si>
    <t>Armenia</t>
  </si>
  <si>
    <t>Quindío</t>
  </si>
  <si>
    <t>63001</t>
  </si>
  <si>
    <t>German Laureano Ujueta Diago</t>
  </si>
  <si>
    <t>Movimiento Alianza Democrática Amplia</t>
  </si>
  <si>
    <t>COL-63001-002</t>
  </si>
  <si>
    <t>Nasser Ramirez Gutierrez</t>
  </si>
  <si>
    <t>COL-63001-003</t>
  </si>
  <si>
    <t>Stefany Gomez Murillo</t>
  </si>
  <si>
    <t>Liderazgo Ciudadano</t>
  </si>
  <si>
    <t>COL-63001-004</t>
  </si>
  <si>
    <t>Alvaro Arias Velasquez</t>
  </si>
  <si>
    <t>Armenia Nos Mueve</t>
  </si>
  <si>
    <t>COL-63001-005</t>
  </si>
  <si>
    <t>Orlando Mosquera Forero</t>
  </si>
  <si>
    <t>Partido Ecologista Colombiano</t>
  </si>
  <si>
    <t>COL-63001-006</t>
  </si>
  <si>
    <t>Mary Luz Ospina Garcia</t>
  </si>
  <si>
    <t>Partido Centro Democrático</t>
  </si>
  <si>
    <t>COL-63001-007</t>
  </si>
  <si>
    <t>Oscar Gomez Agudelo</t>
  </si>
  <si>
    <t>COL-63001-008</t>
  </si>
  <si>
    <t>Ivan Paez Baquero</t>
  </si>
  <si>
    <t>Nueva Fuerza Democrática</t>
  </si>
  <si>
    <t>COL-63001-009</t>
  </si>
  <si>
    <t>Javier Andres Angulo Gutierrez</t>
  </si>
  <si>
    <t>Partido Político La Fuerza de la Paz</t>
  </si>
  <si>
    <t>COL-63001-010</t>
  </si>
  <si>
    <t>Bryant Stiven Naranjo Raigoza</t>
  </si>
  <si>
    <t>Armenia - Partido de la U - Partido en Marcha</t>
  </si>
  <si>
    <t>COL-63001-011</t>
  </si>
  <si>
    <t>Hernan Felipe Jaramillo Duque</t>
  </si>
  <si>
    <t>Movimiento Político Fuerza Ciudadana</t>
  </si>
  <si>
    <t>COL-63001-012</t>
  </si>
  <si>
    <t>Rolando Muñoz Torres</t>
  </si>
  <si>
    <t>COL-63001-013</t>
  </si>
  <si>
    <t>James Padilla Garcia</t>
  </si>
  <si>
    <t>Armenia con Más Oportunidades</t>
  </si>
  <si>
    <t>COL-63001-014</t>
  </si>
  <si>
    <t>Jose Ignacio Rojas Sepulveda</t>
  </si>
  <si>
    <t>Armenia 2027</t>
  </si>
  <si>
    <t>COL-68081-001</t>
  </si>
  <si>
    <t>Barrancabermeja</t>
  </si>
  <si>
    <t>Santander</t>
  </si>
  <si>
    <t>68081</t>
  </si>
  <si>
    <t>Elcida Martinez Peinado</t>
  </si>
  <si>
    <t>COL-68081-002</t>
  </si>
  <si>
    <t>Gustavo Adolfo de la Ossa Sanchez</t>
  </si>
  <si>
    <t>Transformando Territorio</t>
  </si>
  <si>
    <t>COL-68081-003</t>
  </si>
  <si>
    <t>Claudia Patricia Andrade Gonzalez</t>
  </si>
  <si>
    <t>Partido Colombia Renaciente</t>
  </si>
  <si>
    <t>COL-68081-004</t>
  </si>
  <si>
    <t>Edinson Ariel Diosa Taborda</t>
  </si>
  <si>
    <t>COL-68081-005</t>
  </si>
  <si>
    <t>Jonathan Stivel Vasquez Gomez</t>
  </si>
  <si>
    <t>Escribamos un Nuevo Capítulo</t>
  </si>
  <si>
    <t>COL-68081-006</t>
  </si>
  <si>
    <t>Elkin David Bueno Altahona</t>
  </si>
  <si>
    <t>Gratitud por la Gente</t>
  </si>
  <si>
    <t>COL-68081-007</t>
  </si>
  <si>
    <t>Rafael Leonardo Granados Cardenas</t>
  </si>
  <si>
    <t>COL-68081-008</t>
  </si>
  <si>
    <t>Rafael Garces Barragan</t>
  </si>
  <si>
    <t>Partido Político Creemos</t>
  </si>
  <si>
    <t>COL-68081-009</t>
  </si>
  <si>
    <t>Jose Alexander Perdomo Sepulveda</t>
  </si>
  <si>
    <t>COL-68081-010</t>
  </si>
  <si>
    <t>Jaime Enrique Peña Robles</t>
  </si>
  <si>
    <t>COL-68081-011</t>
  </si>
  <si>
    <t>Alvaro Perez Vides</t>
  </si>
  <si>
    <t>COL-68081-012</t>
  </si>
  <si>
    <t>Paul Enrique Solorzano Garcia</t>
  </si>
  <si>
    <t>COL-08001-001</t>
  </si>
  <si>
    <t>Barranquilla</t>
  </si>
  <si>
    <t>Atlántico</t>
  </si>
  <si>
    <t>08001</t>
  </si>
  <si>
    <t>Luis Enrique Guzman Chams</t>
  </si>
  <si>
    <t>Partido Verde Oxígeno</t>
  </si>
  <si>
    <t>COL-08001-002</t>
  </si>
  <si>
    <t>Alejandro Char Chaljub</t>
  </si>
  <si>
    <t>Partido Cambio Radical</t>
  </si>
  <si>
    <t>COL-08001-003</t>
  </si>
  <si>
    <t>Harry Alberto Silva Llinas</t>
  </si>
  <si>
    <t>S.O.S por Barranquilla</t>
  </si>
  <si>
    <t>COL-08001-004</t>
  </si>
  <si>
    <t>Ronald Jose Valdes Padilla</t>
  </si>
  <si>
    <t>COL-08001-005</t>
  </si>
  <si>
    <t>Antonio Eduardo Bohorquez Collazos</t>
  </si>
  <si>
    <t>Partido Polo Democrático Alternativo</t>
  </si>
  <si>
    <t>COL-08001-006</t>
  </si>
  <si>
    <t>Hassan Fares Hachem</t>
  </si>
  <si>
    <t>COL-05049-001</t>
  </si>
  <si>
    <t>Bello</t>
  </si>
  <si>
    <t>05049</t>
  </si>
  <si>
    <t>Juan Felipe Restrepo Tamayo</t>
  </si>
  <si>
    <t>Partido Alianza Verde</t>
  </si>
  <si>
    <t>COL-05049-002</t>
  </si>
  <si>
    <t>Isabel Daniela Ortega Perez</t>
  </si>
  <si>
    <t>COL-05049-003</t>
  </si>
  <si>
    <t>Yulieth Lorena Gonzalez Ospina</t>
  </si>
  <si>
    <t>Bello Nos Une</t>
  </si>
  <si>
    <t>COL-05049-004</t>
  </si>
  <si>
    <t>Santiago Zapata Quiroz</t>
  </si>
  <si>
    <t>COL-05049-005</t>
  </si>
  <si>
    <t>Hugo Alexander Diaz Marin</t>
  </si>
  <si>
    <t>Independientes</t>
  </si>
  <si>
    <t>COL-05049-006</t>
  </si>
  <si>
    <t>Jesus Ernesto Zapata Orrego</t>
  </si>
  <si>
    <t>Partido de la Unión por la Gente - Partido de la U</t>
  </si>
  <si>
    <t>COL-05049-007</t>
  </si>
  <si>
    <t>Claudia Lorena Castrillon Zuluaga</t>
  </si>
  <si>
    <t>Partido Demócrata Colombiano</t>
  </si>
  <si>
    <t>COL-05049-008</t>
  </si>
  <si>
    <t>Nestor David Restrepo Bonnett</t>
  </si>
  <si>
    <t>Bello en Serio</t>
  </si>
  <si>
    <t>COL-05049-009</t>
  </si>
  <si>
    <t>Robinson Andres Alvarez Londoño</t>
  </si>
  <si>
    <t>Movimiento Alternativo Indígena y Social MAIS</t>
  </si>
  <si>
    <t>COL-11001-001</t>
  </si>
  <si>
    <t>Bogotá D.C.</t>
  </si>
  <si>
    <t>11001</t>
  </si>
  <si>
    <t>Jorge Luis Vargas Valencia</t>
  </si>
  <si>
    <t>COL-11001-002</t>
  </si>
  <si>
    <t>Diego Andres Molano Aponte</t>
  </si>
  <si>
    <t>Reconstruyamos Bogotá</t>
  </si>
  <si>
    <t>COL-11001-003</t>
  </si>
  <si>
    <t>Rodrigo Lara Restrepo</t>
  </si>
  <si>
    <t>Lara-Demócrata</t>
  </si>
  <si>
    <t>COL-11001-004</t>
  </si>
  <si>
    <t>Nicolas Ramos Barbosa</t>
  </si>
  <si>
    <t>Mas Acciones Menos Rostros</t>
  </si>
  <si>
    <t>COL-11001-005</t>
  </si>
  <si>
    <t>Carlos Fernando Galan Pachon</t>
  </si>
  <si>
    <t>Partido Nuevo Liberalismo</t>
  </si>
  <si>
    <t>COL-11001-006</t>
  </si>
  <si>
    <t>Gustavo Bolivar Moreno</t>
  </si>
  <si>
    <t>Pacto Histórico Bogotá</t>
  </si>
  <si>
    <t>COL-11001-007</t>
  </si>
  <si>
    <t>Rafael Alfonso Quintero Mora</t>
  </si>
  <si>
    <t>COL-11001-008</t>
  </si>
  <si>
    <t>Juan Daniel Oviedo Arango</t>
  </si>
  <si>
    <t>Con Toda por Bogotá</t>
  </si>
  <si>
    <t>COL-11001-009</t>
  </si>
  <si>
    <t>Jorge Enrique Robledo Castillo</t>
  </si>
  <si>
    <t>COL-68001-001</t>
  </si>
  <si>
    <t>Bucaramanga</t>
  </si>
  <si>
    <t>68001</t>
  </si>
  <si>
    <t>Jaime Andres Beltran Martinez</t>
  </si>
  <si>
    <t>Defendamos Bucaramanga</t>
  </si>
  <si>
    <t>COL-68001-002</t>
  </si>
  <si>
    <t>Edinson Fabian Oviedo Pinzon</t>
  </si>
  <si>
    <t>Movimiento Acciones Notables</t>
  </si>
  <si>
    <t>COL-68001-003</t>
  </si>
  <si>
    <t>Consuelo Ordoñez de Rincon</t>
  </si>
  <si>
    <t>En Buenas Manos</t>
  </si>
  <si>
    <t>COL-68001-004</t>
  </si>
  <si>
    <t>Jose del Carmen Velasquez Pereira</t>
  </si>
  <si>
    <t>COL-68001-005</t>
  </si>
  <si>
    <t>Alvaro Torres</t>
  </si>
  <si>
    <t>COL-68001-006</t>
  </si>
  <si>
    <t>Jorge Alberto Figueroa Clausen</t>
  </si>
  <si>
    <t>COL-68001-007</t>
  </si>
  <si>
    <t>Giovanni Alvarez Maldonado</t>
  </si>
  <si>
    <t>COL-68001-008</t>
  </si>
  <si>
    <t>Carlos Felipe Parra Rojas</t>
  </si>
  <si>
    <t>¡Valientes!</t>
  </si>
  <si>
    <t>COL-68001-009</t>
  </si>
  <si>
    <t>Ludwing Mantilla Castro</t>
  </si>
  <si>
    <t>COL-68001-010</t>
  </si>
  <si>
    <t>Manuel Eduardo Parada Rueda</t>
  </si>
  <si>
    <t>COL-68001-011</t>
  </si>
  <si>
    <t>Carlos Fernando Sotomonte Garavito</t>
  </si>
  <si>
    <t>Coraje</t>
  </si>
  <si>
    <t>COL-68001-012</t>
  </si>
  <si>
    <t>Luis Roberto Ordoñez Ardila</t>
  </si>
  <si>
    <t>Vamos a Crecer</t>
  </si>
  <si>
    <t>COL-68001-013</t>
  </si>
  <si>
    <t>Jaime Calderon Herrera</t>
  </si>
  <si>
    <t>Pacto Histórico Colombia Puede</t>
  </si>
  <si>
    <t>COL-68001-014</t>
  </si>
  <si>
    <t>Diego Arturo Tamayo Salcedo</t>
  </si>
  <si>
    <t>Avancemos por Bucaramanga</t>
  </si>
  <si>
    <t>COL-68001-015</t>
  </si>
  <si>
    <t>Horacio Jose Serpa Moncada</t>
  </si>
  <si>
    <t>Serpá la Gente</t>
  </si>
  <si>
    <t>COL-76109-001</t>
  </si>
  <si>
    <t>Buenaventura</t>
  </si>
  <si>
    <t>Valle del Cauca</t>
  </si>
  <si>
    <t>76109</t>
  </si>
  <si>
    <t>Oscar Murillo Asprilla</t>
  </si>
  <si>
    <t>COL-76109-002</t>
  </si>
  <si>
    <t>Maria Miyela Riascos Riascos</t>
  </si>
  <si>
    <t>COL-76109-003</t>
  </si>
  <si>
    <t>Daniel Olave Ordoñez</t>
  </si>
  <si>
    <t>Partido Político Todos Somos Colombia</t>
  </si>
  <si>
    <t>COL-76109-004</t>
  </si>
  <si>
    <t>Wilson Rodallega Panameño</t>
  </si>
  <si>
    <t>Partido Liberal Colombiano</t>
  </si>
  <si>
    <t>COL-76109-005</t>
  </si>
  <si>
    <t>Ulpiano Riascos Arboleda</t>
  </si>
  <si>
    <t>Partido Liga Gobernantes Anticorrupción - Liga</t>
  </si>
  <si>
    <t>COL-76109-006</t>
  </si>
  <si>
    <t>Jose Luis Muñoz Lerma</t>
  </si>
  <si>
    <t>Movimiento Autoridades Indígenas de Colombia AICO</t>
  </si>
  <si>
    <t>COL-76109-007</t>
  </si>
  <si>
    <t>Javier Torres Caicedo</t>
  </si>
  <si>
    <t>COL-76109-008</t>
  </si>
  <si>
    <t>Edgardo Noviteño Carabali</t>
  </si>
  <si>
    <t>COL-76109-009</t>
  </si>
  <si>
    <t>Wistong Segura Valencia</t>
  </si>
  <si>
    <t>COL-76109-010</t>
  </si>
  <si>
    <t>Libia Mosquera Viveros</t>
  </si>
  <si>
    <t>COL-76109-011</t>
  </si>
  <si>
    <t>Rafael Cuero Angulo</t>
  </si>
  <si>
    <t>COL-76109-012</t>
  </si>
  <si>
    <t>Leyla Magaly Carabali Rodriguez</t>
  </si>
  <si>
    <t>COL-76109-013</t>
  </si>
  <si>
    <t>Evangelista Aragon Cuero</t>
  </si>
  <si>
    <t>Partido del Trabajo de Colombia</t>
  </si>
  <si>
    <t>COL-76109-014</t>
  </si>
  <si>
    <t>William Grueso Estacio</t>
  </si>
  <si>
    <t>COL-76109-015</t>
  </si>
  <si>
    <t>Ligia del Carmen Cordoba Martinez</t>
  </si>
  <si>
    <t>Coalición Alcaldía de Buenaventura</t>
  </si>
  <si>
    <t>COL-76109-016</t>
  </si>
  <si>
    <t>Jaime Oswaldo Marinez Quiñones</t>
  </si>
  <si>
    <t>Unidos Podemos</t>
  </si>
  <si>
    <t>COL-76001-001</t>
  </si>
  <si>
    <t>Cali</t>
  </si>
  <si>
    <t>76001</t>
  </si>
  <si>
    <t>Wilfredo Pardo Herrera</t>
  </si>
  <si>
    <t>COL-76001-002</t>
  </si>
  <si>
    <t>Alvaro Alejandro Eder Garces</t>
  </si>
  <si>
    <t>Revivamos Cali</t>
  </si>
  <si>
    <t>COL-76001-003</t>
  </si>
  <si>
    <t>Wilson Ruiz Orejuela</t>
  </si>
  <si>
    <t>S.O.S Cali - Salvemos a Cali</t>
  </si>
  <si>
    <t>COL-76001-004</t>
  </si>
  <si>
    <t>Diana Carolina Rojas Atehortua</t>
  </si>
  <si>
    <t>Cali Caleñísima</t>
  </si>
  <si>
    <t>COL-76001-005</t>
  </si>
  <si>
    <t>Miyerlandi Torres Agredo</t>
  </si>
  <si>
    <t>Un Renacer para Cali</t>
  </si>
  <si>
    <t>COL-76001-006</t>
  </si>
  <si>
    <t>Edilson Huerfano Ordoñez</t>
  </si>
  <si>
    <t>COL-76001-007</t>
  </si>
  <si>
    <t>Roberto Ortiz Urueña</t>
  </si>
  <si>
    <t>Firme con Cali</t>
  </si>
  <si>
    <t>COL-76001-008</t>
  </si>
  <si>
    <t>Heriberto Escobar Gonzalez</t>
  </si>
  <si>
    <t>COL-76001-009</t>
  </si>
  <si>
    <t>Danis Antonio Renteria Chala</t>
  </si>
  <si>
    <t>Colombia Humana-Pacto Histórico</t>
  </si>
  <si>
    <t>COL-76001-010</t>
  </si>
  <si>
    <t>Deninson Mendoza Ramos</t>
  </si>
  <si>
    <t>COL-13001-001</t>
  </si>
  <si>
    <t>Cartagena</t>
  </si>
  <si>
    <t>Bolívar</t>
  </si>
  <si>
    <t>13001</t>
  </si>
  <si>
    <t>Richard Martinez Piloz</t>
  </si>
  <si>
    <t>COL-13001-002</t>
  </si>
  <si>
    <t>William Garcia Tirado</t>
  </si>
  <si>
    <t>Los Tres Golpes</t>
  </si>
  <si>
    <t>COL-13001-003</t>
  </si>
  <si>
    <t>Jacqueline del Carmen Perea Blanco</t>
  </si>
  <si>
    <t>COL-13001-004</t>
  </si>
  <si>
    <t>Gustavo Ramon Martinez Theran</t>
  </si>
  <si>
    <t>COL-13001-005</t>
  </si>
  <si>
    <t>Nausicrate Perez Dautt</t>
  </si>
  <si>
    <t>COL-13001-006</t>
  </si>
  <si>
    <t>Javier Manuel Doria Arrieta</t>
  </si>
  <si>
    <t>Cartagena Fuerte y Libre</t>
  </si>
  <si>
    <t>COL-13001-007</t>
  </si>
  <si>
    <t>Fabio Aristizabal Angel</t>
  </si>
  <si>
    <t>COL-13001-008</t>
  </si>
  <si>
    <t>Eduardo Villanueva Orozco</t>
  </si>
  <si>
    <t>COL-13001-009</t>
  </si>
  <si>
    <t>Jose Luis Osorio Galvis</t>
  </si>
  <si>
    <t>COL-13001-010</t>
  </si>
  <si>
    <t>Javier Julio Bejarano</t>
  </si>
  <si>
    <t>COL-13001-011</t>
  </si>
  <si>
    <t>Judith del Carmen Pinedo Florez</t>
  </si>
  <si>
    <t>Valientes por Cartagena</t>
  </si>
  <si>
    <t>COL-13001-012</t>
  </si>
  <si>
    <t>Dumek Jose Turbay Paz</t>
  </si>
  <si>
    <t>Unidos para Avanzar</t>
  </si>
  <si>
    <t>COL-54001-001</t>
  </si>
  <si>
    <t>Cúcuta</t>
  </si>
  <si>
    <t>Norte de Santander</t>
  </si>
  <si>
    <t>54001</t>
  </si>
  <si>
    <t>Carlos Martin Rojas Carvajal</t>
  </si>
  <si>
    <t>COL-54001-002</t>
  </si>
  <si>
    <t>Jonathan Isaac Garcia Pabon</t>
  </si>
  <si>
    <t>COL-54001-003</t>
  </si>
  <si>
    <t>Felix Adolfo Muñoz Luna</t>
  </si>
  <si>
    <t>COL-54001-004</t>
  </si>
  <si>
    <t>Carlos Alberto Jaimes Fernandez</t>
  </si>
  <si>
    <t>COL-54001-005</t>
  </si>
  <si>
    <t>Jose Luis Mora Castro</t>
  </si>
  <si>
    <t>Nuevas Ideas</t>
  </si>
  <si>
    <t>COL-54001-006</t>
  </si>
  <si>
    <t>David Eduardo Fajardo Granados</t>
  </si>
  <si>
    <t>COL-54001-007</t>
  </si>
  <si>
    <t>Mario Vicente Figueroa Fernandez</t>
  </si>
  <si>
    <t>COL-54001-008</t>
  </si>
  <si>
    <t>Blanca Cruz Gonzalez</t>
  </si>
  <si>
    <t>COL-54001-009</t>
  </si>
  <si>
    <t>Carlos Humberto Cote Mendoza</t>
  </si>
  <si>
    <t>COL-54001-010</t>
  </si>
  <si>
    <t>Juan Carlos Garcia Herreros Cabrera</t>
  </si>
  <si>
    <t>Cúcuta Segura y Competitiva</t>
  </si>
  <si>
    <t>COL-54001-011</t>
  </si>
  <si>
    <t>Jorge Enrique Acevedo Peñaloza</t>
  </si>
  <si>
    <t>Todos por Cúcuta</t>
  </si>
  <si>
    <t>COL-54001-012</t>
  </si>
  <si>
    <t>Sergio Andres Maldonado Huertas</t>
  </si>
  <si>
    <t>Partido Alianza Verde-Dignidad y Compromiso</t>
  </si>
  <si>
    <t>COL-54001-013</t>
  </si>
  <si>
    <t>Jose Leonardo Jacome Carrascal</t>
  </si>
  <si>
    <t>Cúcuta Avanza</t>
  </si>
  <si>
    <t>COL-54001-014</t>
  </si>
  <si>
    <t>Emerson Meneses Gonzalez</t>
  </si>
  <si>
    <t>COL-66170-001</t>
  </si>
  <si>
    <t>Dosquebradas</t>
  </si>
  <si>
    <t>Risaralda</t>
  </si>
  <si>
    <t>66170</t>
  </si>
  <si>
    <t>Juan Pablo Cano Pulgarin</t>
  </si>
  <si>
    <t>Unión Ciudadana</t>
  </si>
  <si>
    <t>COL-66170-002</t>
  </si>
  <si>
    <t>Wilson Mario Garcia Saenz</t>
  </si>
  <si>
    <t>COL-66170-003</t>
  </si>
  <si>
    <t>Roberto Jimenez Naranjo</t>
  </si>
  <si>
    <t>Dosquebradas Visión de Ciudad</t>
  </si>
  <si>
    <t>COL-66170-004</t>
  </si>
  <si>
    <t>Oscar Mauricio Toro Valencia</t>
  </si>
  <si>
    <t>Toro Alcalde 2024-2027</t>
  </si>
  <si>
    <t>COL-66170-005</t>
  </si>
  <si>
    <t>Tatiana Lopez Saldarriaga</t>
  </si>
  <si>
    <t>COL-05266-001</t>
  </si>
  <si>
    <t>Envigado</t>
  </si>
  <si>
    <t>05266</t>
  </si>
  <si>
    <t>Raul Eduardo Cardona Gonzalez</t>
  </si>
  <si>
    <t>Envigado, Vamos Adelante</t>
  </si>
  <si>
    <t>COL-05266-002</t>
  </si>
  <si>
    <t>Jhony Oswaldo Velez Quintero</t>
  </si>
  <si>
    <t>COL-05266-003</t>
  </si>
  <si>
    <t>Sergio Osvaldo Molina Perez</t>
  </si>
  <si>
    <t>COL-05266-004</t>
  </si>
  <si>
    <t>Andres David Torres Gomez</t>
  </si>
  <si>
    <t>Envigado Merece Más</t>
  </si>
  <si>
    <t>COL-68276-001</t>
  </si>
  <si>
    <t>Floridablanca</t>
  </si>
  <si>
    <t>68276</t>
  </si>
  <si>
    <t>Juan Carlos Ayala Suarez</t>
  </si>
  <si>
    <t>COL-68276-002</t>
  </si>
  <si>
    <t>Juan de Dios Tarazona Mendoza</t>
  </si>
  <si>
    <t>Colombia Humana / Pacto Histórico</t>
  </si>
  <si>
    <t>COL-68276-003</t>
  </si>
  <si>
    <t>Juan Pablo Perez Tarazona</t>
  </si>
  <si>
    <t>COL-68276-004</t>
  </si>
  <si>
    <t>Jose Fernando Sanchez Carvajal</t>
  </si>
  <si>
    <t>Floridablanca en Orden</t>
  </si>
  <si>
    <t>COL-68276-005</t>
  </si>
  <si>
    <t>Oscar Eduardo Guerra Ochoa</t>
  </si>
  <si>
    <t>COL-68276-006</t>
  </si>
  <si>
    <t>Milady Tovar Cabarique</t>
  </si>
  <si>
    <t>COL-68276-007</t>
  </si>
  <si>
    <t>Jhair Andres Manrique Bautista</t>
  </si>
  <si>
    <t>Seamos</t>
  </si>
  <si>
    <t>COL-68276-008</t>
  </si>
  <si>
    <t>Milton Villamizar Afanador</t>
  </si>
  <si>
    <t>COL-68276-009</t>
  </si>
  <si>
    <t>Jefferson Vega Buitrago</t>
  </si>
  <si>
    <t>COL-68276-010</t>
  </si>
  <si>
    <t>Sergio Eduardo Flechas Moreno</t>
  </si>
  <si>
    <t>Sergio Flechas Alcalde</t>
  </si>
  <si>
    <t>COL-73001-001</t>
  </si>
  <si>
    <t>Ibagué</t>
  </si>
  <si>
    <t>Tolima</t>
  </si>
  <si>
    <t>73001</t>
  </si>
  <si>
    <t>Jorge Bolivar Torres</t>
  </si>
  <si>
    <t>COL-73001-002</t>
  </si>
  <si>
    <t>Didier Fabian Blanco Rodriguez</t>
  </si>
  <si>
    <t>Partido Alianza Social Independiente ASI</t>
  </si>
  <si>
    <t>COL-73001-003</t>
  </si>
  <si>
    <t>Renso Alexander Garcia Parra</t>
  </si>
  <si>
    <t>COL-73001-004</t>
  </si>
  <si>
    <t>Miguel Angel Villarraga Lozano</t>
  </si>
  <si>
    <t>Ibagué Culta y Prospera</t>
  </si>
  <si>
    <t>COL-73001-005</t>
  </si>
  <si>
    <t>Jose Hildebrando Barreto Castillo</t>
  </si>
  <si>
    <t>Firme por Ibague</t>
  </si>
  <si>
    <t>COL-73001-006</t>
  </si>
  <si>
    <t>Marco Emilio Hincapie Ramirez</t>
  </si>
  <si>
    <t>COL-73001-007</t>
  </si>
  <si>
    <t>Johana Ximena Aranda Rivera</t>
  </si>
  <si>
    <t>Ibague para Todos</t>
  </si>
  <si>
    <t>COL-73001-008</t>
  </si>
  <si>
    <t>Ricardo Alfonso Ferro Lozano</t>
  </si>
  <si>
    <t>COL-73001-009</t>
  </si>
  <si>
    <t>Fernando Murillo Orrego</t>
  </si>
  <si>
    <t>Ibagué Siempre Adelante</t>
  </si>
  <si>
    <t>COL-05151-001</t>
  </si>
  <si>
    <t>Itagüí</t>
  </si>
  <si>
    <t>05151</t>
  </si>
  <si>
    <t>Leyner Camilo Lopez Granada</t>
  </si>
  <si>
    <t>COL-05151-002</t>
  </si>
  <si>
    <t>Rosa Maria Acevedo Jaramillo</t>
  </si>
  <si>
    <t>Coalición Itagüí en Orden</t>
  </si>
  <si>
    <t>COL-05151-003</t>
  </si>
  <si>
    <t>Diego Leon Torres Sanchez</t>
  </si>
  <si>
    <t>Itagüí Somos Todos - Partido Conservador</t>
  </si>
  <si>
    <t>COL-05151-004</t>
  </si>
  <si>
    <t>Andres Mauricio Bedoya Montoya</t>
  </si>
  <si>
    <t>Mauro Renovación a lo Legal</t>
  </si>
  <si>
    <t>COL-05151-005</t>
  </si>
  <si>
    <t>Leon Mario Bedoya Lopez</t>
  </si>
  <si>
    <t>COL-05151-006</t>
  </si>
  <si>
    <t>Rubel Augusto Ocampo Valencia</t>
  </si>
  <si>
    <t>COL-05151-007</t>
  </si>
  <si>
    <t>Nelson Acevedo Vargas</t>
  </si>
  <si>
    <t>COL-05151-008</t>
  </si>
  <si>
    <t>Hugo Alonso Sanchez Hernandez</t>
  </si>
  <si>
    <t>COL-17001-001</t>
  </si>
  <si>
    <t>Manizales</t>
  </si>
  <si>
    <t>Caldas</t>
  </si>
  <si>
    <t>17001</t>
  </si>
  <si>
    <t>Jorge Eduardo Rojas Giraldo</t>
  </si>
  <si>
    <t>Rojas</t>
  </si>
  <si>
    <t>COL-17001-002</t>
  </si>
  <si>
    <t>Carlos Arturo Buritica Atehortua</t>
  </si>
  <si>
    <t>COL-17001-003</t>
  </si>
  <si>
    <t>Jorge Alberto Betancurt Raigoza</t>
  </si>
  <si>
    <t>COL-17001-004</t>
  </si>
  <si>
    <t>Francisco Javier Gonzalez Sanchez</t>
  </si>
  <si>
    <t>COL-17001-005</t>
  </si>
  <si>
    <t>Martin Sierra Quiroz</t>
  </si>
  <si>
    <t>COL-17001-006</t>
  </si>
  <si>
    <t>German Vallejo Obando</t>
  </si>
  <si>
    <t>COL-17001-007</t>
  </si>
  <si>
    <t>Miguel Trujillo Londoño</t>
  </si>
  <si>
    <t>Revivamos Manizales</t>
  </si>
  <si>
    <t>COL-17001-008</t>
  </si>
  <si>
    <t>John Robert Osorio Isaza</t>
  </si>
  <si>
    <t>COL-17001-009</t>
  </si>
  <si>
    <t>Martin Emilio Ramirez Cardona</t>
  </si>
  <si>
    <t>COL-17001-010</t>
  </si>
  <si>
    <t>Paula Andrea Toro Santana</t>
  </si>
  <si>
    <t>UNA</t>
  </si>
  <si>
    <t>COL-05001-001</t>
  </si>
  <si>
    <t>Medellín</t>
  </si>
  <si>
    <t>05001</t>
  </si>
  <si>
    <t>Federico Andres Gutierrez Zuluaga</t>
  </si>
  <si>
    <t>COL-05001-002</t>
  </si>
  <si>
    <t>Juan David Valderrama Lopez</t>
  </si>
  <si>
    <t>Proponemos por Medellín</t>
  </si>
  <si>
    <t>COL-05001-003</t>
  </si>
  <si>
    <t>Jaime Alberto Mejia Alvaran</t>
  </si>
  <si>
    <t>Sumamos</t>
  </si>
  <si>
    <t>COL-05001-004</t>
  </si>
  <si>
    <t>Rodolfo Andres Correa Vargas</t>
  </si>
  <si>
    <t>COL-05001-005</t>
  </si>
  <si>
    <t>Luis Bernardo Velez Montoya</t>
  </si>
  <si>
    <t>Movimiento Cuidemos Medellín</t>
  </si>
  <si>
    <t>COL-05001-006</t>
  </si>
  <si>
    <t>Juan Camilo Restrepo Gomez</t>
  </si>
  <si>
    <t>COL-05001-007</t>
  </si>
  <si>
    <t>Deicy Elena Bermudez Hurtado</t>
  </si>
  <si>
    <t>COL-05001-008</t>
  </si>
  <si>
    <t>Felipe Velez Roa</t>
  </si>
  <si>
    <t>COL-05001-009</t>
  </si>
  <si>
    <t>Liliana Maria Rendon Roldan</t>
  </si>
  <si>
    <t>De Frente Movimiento Lilianista</t>
  </si>
  <si>
    <t>COL-05001-010</t>
  </si>
  <si>
    <t>Albert Yordano Corredor Bustamante</t>
  </si>
  <si>
    <t>Medellín Nos Une</t>
  </si>
  <si>
    <t>COL-05001-011</t>
  </si>
  <si>
    <t>Maria Paulina Aguinaga Lezcano</t>
  </si>
  <si>
    <t>Por Medellín</t>
  </si>
  <si>
    <t>COL-05001-012</t>
  </si>
  <si>
    <t>Juan Carlos Upegui Vanegas</t>
  </si>
  <si>
    <t>COL-05001-013</t>
  </si>
  <si>
    <t>Carlos Alberto Ballesteros Baron</t>
  </si>
  <si>
    <t>COL-05001-014</t>
  </si>
  <si>
    <t>Gilberto Tobon Sanin</t>
  </si>
  <si>
    <t>COL-23001-001</t>
  </si>
  <si>
    <t>Montería</t>
  </si>
  <si>
    <t>Córdoba</t>
  </si>
  <si>
    <t>23001</t>
  </si>
  <si>
    <t>Jose Ignacio Burgos Aruachan</t>
  </si>
  <si>
    <t>COL-23001-002</t>
  </si>
  <si>
    <t>Oscar Antonio Hoyos Martinez</t>
  </si>
  <si>
    <t>COL-23001-003</t>
  </si>
  <si>
    <t>Yalenis Paola Mazon Esquivel</t>
  </si>
  <si>
    <t>COL-23001-004</t>
  </si>
  <si>
    <t>Liliana Yunez Luquetta</t>
  </si>
  <si>
    <t>Unidos por Montería</t>
  </si>
  <si>
    <t>COL-23001-005</t>
  </si>
  <si>
    <t>Luis Alfredo Jimenez Espitia</t>
  </si>
  <si>
    <t>COL-23001-006</t>
  </si>
  <si>
    <t>Natalia Eugenia Lopez Fuentes</t>
  </si>
  <si>
    <t>Montería es Capaz</t>
  </si>
  <si>
    <t>COL-23001-007</t>
  </si>
  <si>
    <t>Elias David Boada Pretelt</t>
  </si>
  <si>
    <t>COL-23001-008</t>
  </si>
  <si>
    <t>Hugo Fernando Kerguelen Garcia</t>
  </si>
  <si>
    <t>Una Sola Montería</t>
  </si>
  <si>
    <t>COL-41001-001</t>
  </si>
  <si>
    <t>Neiva</t>
  </si>
  <si>
    <t>Huila</t>
  </si>
  <si>
    <t>41001</t>
  </si>
  <si>
    <t>Hector Javier Osorio Botello</t>
  </si>
  <si>
    <t>COL-41001-002</t>
  </si>
  <si>
    <t>Edinson Amin Losada Perdomo</t>
  </si>
  <si>
    <t>COL-41001-003</t>
  </si>
  <si>
    <t>Dagoberto Marin Fernandez</t>
  </si>
  <si>
    <t>COL-41001-004</t>
  </si>
  <si>
    <t>Yilber Leandro Saavedra</t>
  </si>
  <si>
    <t>Transformemos</t>
  </si>
  <si>
    <t>COL-41001-005</t>
  </si>
  <si>
    <t>Wilmar Eli Charry Ruiz</t>
  </si>
  <si>
    <t>COL-41001-006</t>
  </si>
  <si>
    <t>Wilker Esneider Bautista Macias</t>
  </si>
  <si>
    <t>Por la Vida en Neiva</t>
  </si>
  <si>
    <t>COL-41001-007</t>
  </si>
  <si>
    <t>German Casagua Bonilla</t>
  </si>
  <si>
    <t>Acciones por Neiva</t>
  </si>
  <si>
    <t>COL-41001-008</t>
  </si>
  <si>
    <t>Jorge Andres Gechem Artunduaga</t>
  </si>
  <si>
    <t>Es Entre Todos</t>
  </si>
  <si>
    <t>COL-41001-009</t>
  </si>
  <si>
    <t>German Dario Rodriguez Parra</t>
  </si>
  <si>
    <t>Chicho Avanzando Ando</t>
  </si>
  <si>
    <t>COL-76520-001</t>
  </si>
  <si>
    <t>Palmira</t>
  </si>
  <si>
    <t>76520</t>
  </si>
  <si>
    <t>Julian David Palacios Obregon</t>
  </si>
  <si>
    <t>COL-76520-002</t>
  </si>
  <si>
    <t>Carlos Alberto Zapata Castaño</t>
  </si>
  <si>
    <t>COL-76520-003</t>
  </si>
  <si>
    <t>Hector Fabio Velasco Hernandez</t>
  </si>
  <si>
    <t>Palmira 2040</t>
  </si>
  <si>
    <t>COL-76520-004</t>
  </si>
  <si>
    <t>John Alex Charry Ramirez</t>
  </si>
  <si>
    <t>COL-76520-005</t>
  </si>
  <si>
    <t>Albaro Valencia Collazos</t>
  </si>
  <si>
    <t>COL-76520-006</t>
  </si>
  <si>
    <t>Luis Alfredo Bonilla Quijano</t>
  </si>
  <si>
    <t>COL-76520-007</t>
  </si>
  <si>
    <t>Victor Manuel Ramos Vergara</t>
  </si>
  <si>
    <t>Palmira Bien Pensado</t>
  </si>
  <si>
    <t>COL-76520-008</t>
  </si>
  <si>
    <t>Guillermo Gomez Giraldo</t>
  </si>
  <si>
    <t>COL-76520-009</t>
  </si>
  <si>
    <t>Griselda Janeth Restrepo Gallego</t>
  </si>
  <si>
    <t>Palmira mi Orgullo</t>
  </si>
  <si>
    <t>COL-76520-010</t>
  </si>
  <si>
    <t>Maritza Isaza Gomez</t>
  </si>
  <si>
    <t>COL-52001-001</t>
  </si>
  <si>
    <t>Pasto</t>
  </si>
  <si>
    <t>Nariño</t>
  </si>
  <si>
    <t>52001</t>
  </si>
  <si>
    <t>Miriam Margoth Martinez Diaz</t>
  </si>
  <si>
    <t>COL-52001-002</t>
  </si>
  <si>
    <t>Jose Luis Guerra Burbano</t>
  </si>
  <si>
    <t>COL-52001-003</t>
  </si>
  <si>
    <t>Nilsa Rocio Villota Rosero</t>
  </si>
  <si>
    <t>Pasto con Caracter</t>
  </si>
  <si>
    <t>COL-52001-004</t>
  </si>
  <si>
    <t>Mario Ernesto Enriquez Chenas</t>
  </si>
  <si>
    <t>Vamos Pasto Vamos</t>
  </si>
  <si>
    <t>COL-52001-005</t>
  </si>
  <si>
    <t>Jose Efren Achicanoy Achicanoy</t>
  </si>
  <si>
    <t>COL-52001-006</t>
  </si>
  <si>
    <t>Nicolas Martin Toro Muñoz</t>
  </si>
  <si>
    <t>Movimiento Alianza Ciudadana</t>
  </si>
  <si>
    <t>COL-52001-007</t>
  </si>
  <si>
    <t>Jimmy Pedreros Narvaez</t>
  </si>
  <si>
    <t>COL-52001-008</t>
  </si>
  <si>
    <t>Mario Alejandro Viteri Palacios</t>
  </si>
  <si>
    <t>COL-52001-009</t>
  </si>
  <si>
    <t>Luis Carlos Vallejos Rojas</t>
  </si>
  <si>
    <t>COL-66001-001</t>
  </si>
  <si>
    <t>Pereira</t>
  </si>
  <si>
    <t>66001</t>
  </si>
  <si>
    <t>Maicol Lopera Cardona</t>
  </si>
  <si>
    <t>Alianza por Pereira</t>
  </si>
  <si>
    <t>COL-66001-002</t>
  </si>
  <si>
    <t>Oscar Cruz Ramirez</t>
  </si>
  <si>
    <t>COL-66001-003</t>
  </si>
  <si>
    <t>Martha Isabel Alzate Hincapie</t>
  </si>
  <si>
    <t>COL-66001-004</t>
  </si>
  <si>
    <t>William Ospina Osorio</t>
  </si>
  <si>
    <t>COL-66001-005</t>
  </si>
  <si>
    <t>Diana Yaneth Osorio Bernal</t>
  </si>
  <si>
    <t>COL-66001-006</t>
  </si>
  <si>
    <t>Mauricio Salazar Pelaez</t>
  </si>
  <si>
    <t>Primero Pereira</t>
  </si>
  <si>
    <t>COL-66001-007</t>
  </si>
  <si>
    <t>Reynaldo Steven Cardenas Espinosa</t>
  </si>
  <si>
    <t>COL-68547-001</t>
  </si>
  <si>
    <t>Piedecuesta</t>
  </si>
  <si>
    <t>68547</t>
  </si>
  <si>
    <t>Eva Carolina Gonzalez Duarte</t>
  </si>
  <si>
    <t>Transformemos Piedecuesta</t>
  </si>
  <si>
    <t>COL-68547-002</t>
  </si>
  <si>
    <t>Wilson Gabriel Gonzalez Vargas</t>
  </si>
  <si>
    <t>COL-68547-003</t>
  </si>
  <si>
    <t>Yeison Andres Almeyda Espinosa</t>
  </si>
  <si>
    <t>COL-68547-004</t>
  </si>
  <si>
    <t>Carlos Andres Osorio Franco</t>
  </si>
  <si>
    <t>COL-68547-005</t>
  </si>
  <si>
    <t>David Enrique Valenzuela Gomez</t>
  </si>
  <si>
    <t>COL-68547-006</t>
  </si>
  <si>
    <t>Eugenia Aguilar Rueda</t>
  </si>
  <si>
    <t>COL-68547-007</t>
  </si>
  <si>
    <t>Julian Alberto Diaz Ayala</t>
  </si>
  <si>
    <t>COL-68547-008</t>
  </si>
  <si>
    <t>Junior Elias Correa Vargas</t>
  </si>
  <si>
    <t>COL-68547-009</t>
  </si>
  <si>
    <t>Edgar Solier Millares Escamilla</t>
  </si>
  <si>
    <t>COL-68547-010</t>
  </si>
  <si>
    <t>Oscar Javier Santos Galvis</t>
  </si>
  <si>
    <t>Hagamos Equipo por Piedecuesta</t>
  </si>
  <si>
    <t>COL-68547-011</t>
  </si>
  <si>
    <t>Andres Rogerio Ayala Rojas</t>
  </si>
  <si>
    <t>COL-68547-012</t>
  </si>
  <si>
    <t>Martha Cecilia Reyes Rueda</t>
  </si>
  <si>
    <t>COL-68547-013</t>
  </si>
  <si>
    <t>Jorge Armando Navas Granados</t>
  </si>
  <si>
    <t>Con Seguridad Piedecuesta Avanza</t>
  </si>
  <si>
    <t>COL-19001-001</t>
  </si>
  <si>
    <t>Popayán</t>
  </si>
  <si>
    <t>Cauca</t>
  </si>
  <si>
    <t>19001</t>
  </si>
  <si>
    <t>Diana Nelly Fuentes Meneses</t>
  </si>
  <si>
    <t>COL-19001-002</t>
  </si>
  <si>
    <t>Juan Francisco Salamanca Anaya</t>
  </si>
  <si>
    <t>COL-19001-003</t>
  </si>
  <si>
    <t>Gustavo Adolfo Martinez Arcos</t>
  </si>
  <si>
    <t>COL-19001-004</t>
  </si>
  <si>
    <t>Maria Fernanda Varona Taborda</t>
  </si>
  <si>
    <t>COL-19001-005</t>
  </si>
  <si>
    <t>Pablo Andres Parra Solano</t>
  </si>
  <si>
    <t>COL-19001-006</t>
  </si>
  <si>
    <t>Oyther Manuel Candelo Riascos</t>
  </si>
  <si>
    <t>COL-19001-007</t>
  </si>
  <si>
    <t>Jorge Eliecer Constain Dorado</t>
  </si>
  <si>
    <t>Coalición Despierta Popayán</t>
  </si>
  <si>
    <t>COL-19001-008</t>
  </si>
  <si>
    <t>Francisco Javier Pantoja Pantoja</t>
  </si>
  <si>
    <t>COL-19001-009</t>
  </si>
  <si>
    <t>Jose Luis Diago Franco</t>
  </si>
  <si>
    <t>COL-19001-010</t>
  </si>
  <si>
    <t>Juan Carlos Muñoz Bravo</t>
  </si>
  <si>
    <t>Alianza con Popayán</t>
  </si>
  <si>
    <t>COL-19001-011</t>
  </si>
  <si>
    <t>Diana Patricia Grueso Zuñiga</t>
  </si>
  <si>
    <t>COL-19001-012</t>
  </si>
  <si>
    <t>Fabian de Jesus Naranjo Narvaez</t>
  </si>
  <si>
    <t>COL-19001-013</t>
  </si>
  <si>
    <t>Oscar Ospina Quintero</t>
  </si>
  <si>
    <t>COL-19001-014</t>
  </si>
  <si>
    <t>Argeny Gomez Lopez</t>
  </si>
  <si>
    <t>COL-44001-001</t>
  </si>
  <si>
    <t>Riohacha</t>
  </si>
  <si>
    <t>La Guajira</t>
  </si>
  <si>
    <t>44001</t>
  </si>
  <si>
    <t>Miguel Angel Perez Bernier</t>
  </si>
  <si>
    <t>COL-44001-002</t>
  </si>
  <si>
    <t>Juana Lucila Cordero Moscote</t>
  </si>
  <si>
    <t>COL-44001-003</t>
  </si>
  <si>
    <t>Genaro David Redondo Choles</t>
  </si>
  <si>
    <t>Genaro</t>
  </si>
  <si>
    <t>COL-44001-004</t>
  </si>
  <si>
    <t>Eriberto Antonio Ibarra Campo</t>
  </si>
  <si>
    <t>Una Riohacha con Oportunidades</t>
  </si>
  <si>
    <t>COL-44001-005</t>
  </si>
  <si>
    <t>Karen Patricia Gomez Avila</t>
  </si>
  <si>
    <t>COL-44001-006</t>
  </si>
  <si>
    <t>Jose Alberto Duran Rodriguez</t>
  </si>
  <si>
    <t>Partido de la U-Cambio Radical-ASI-Nuevo Liberalismo</t>
  </si>
  <si>
    <t>COL-47001-001</t>
  </si>
  <si>
    <t>Santa Marta</t>
  </si>
  <si>
    <t>Magdalena</t>
  </si>
  <si>
    <t>47001</t>
  </si>
  <si>
    <t>Jorge Luis Agudelo Apreza</t>
  </si>
  <si>
    <t>COL-47001-002</t>
  </si>
  <si>
    <t>Carlos Alberto Pinedo Cuello</t>
  </si>
  <si>
    <t>Santa Marta Sí Puede</t>
  </si>
  <si>
    <t>COL-47001-003</t>
  </si>
  <si>
    <t>Jose Alfredo Ordoñez Gutierrez</t>
  </si>
  <si>
    <t>Santa Marta Tiene Cura</t>
  </si>
  <si>
    <t>COL-47001-004</t>
  </si>
  <si>
    <t>Alfonso Luis Lastra Fuscaldo</t>
  </si>
  <si>
    <t>COL-47001-005</t>
  </si>
  <si>
    <t>Jose Luis Ortega Aponte</t>
  </si>
  <si>
    <t>COL-47001-006</t>
  </si>
  <si>
    <t>Jaris Jesid Gonzalez Moreno</t>
  </si>
  <si>
    <t>Santa Marta Quinto Centenario Corazón del Nuevo Mundo</t>
  </si>
  <si>
    <t>COL-47001-007</t>
  </si>
  <si>
    <t>Hubert Segundo Ramirez Pineda</t>
  </si>
  <si>
    <t>COL-47001-008</t>
  </si>
  <si>
    <t>Ruben Dario Cardona Salamanca</t>
  </si>
  <si>
    <t>COL-47001-009</t>
  </si>
  <si>
    <t>Edgar Santos Romero</t>
  </si>
  <si>
    <t>COL-70001-001</t>
  </si>
  <si>
    <t>Sincelejo</t>
  </si>
  <si>
    <t>Sucre</t>
  </si>
  <si>
    <t>70001</t>
  </si>
  <si>
    <t>Aldemar Alfaro Rivero</t>
  </si>
  <si>
    <t>COL-70001-002</t>
  </si>
  <si>
    <t>Eustorgio Elviro Alcocer Rosa</t>
  </si>
  <si>
    <t>COL-70001-003</t>
  </si>
  <si>
    <t>Diego Mercado Sanabria</t>
  </si>
  <si>
    <t>COL-70001-004</t>
  </si>
  <si>
    <t>Alex Manuel Sierra Paternina</t>
  </si>
  <si>
    <t>COL-70001-005</t>
  </si>
  <si>
    <t>Jacobo Quessep Espinosa</t>
  </si>
  <si>
    <t>Rescatemos Sincelejo</t>
  </si>
  <si>
    <t>COL-70001-006</t>
  </si>
  <si>
    <t>Felipe Antonio Monterroza Ortega</t>
  </si>
  <si>
    <t>COL-70001-007</t>
  </si>
  <si>
    <t>Jhon Jairo Turizo Hernandez</t>
  </si>
  <si>
    <t>Pacto por Sincelejo</t>
  </si>
  <si>
    <t>COL-70001-008</t>
  </si>
  <si>
    <t>Farid Parrado Corredor</t>
  </si>
  <si>
    <t>COL-70001-009</t>
  </si>
  <si>
    <t>Adolfo Antonio Ordoñez Chadid</t>
  </si>
  <si>
    <t>COL-70001-010</t>
  </si>
  <si>
    <t>Samuel David Alvarez Leon</t>
  </si>
  <si>
    <t>Sincelejo Independiente</t>
  </si>
  <si>
    <t>COL-70001-011</t>
  </si>
  <si>
    <t>Xavier Andres Medina Martinez</t>
  </si>
  <si>
    <t>COL-70001-012</t>
  </si>
  <si>
    <t>Numa Rafael Ortiz Fernandez</t>
  </si>
  <si>
    <t>COL-70001-013</t>
  </si>
  <si>
    <t>Carlos Enrique Paternina Contreras</t>
  </si>
  <si>
    <t>COL-70001-014</t>
  </si>
  <si>
    <t>Yahir Fernando Acuña Cardales</t>
  </si>
  <si>
    <t>COL-25754-001</t>
  </si>
  <si>
    <t>Soacha</t>
  </si>
  <si>
    <t>Cundinamarca</t>
  </si>
  <si>
    <t>25754</t>
  </si>
  <si>
    <t>Jhon Yenifer de Jesus Gonzalez Osorio</t>
  </si>
  <si>
    <t>COL-25754-002</t>
  </si>
  <si>
    <t>Freddy Alexander Gonzalez Parraga</t>
  </si>
  <si>
    <t>Coalición Ciudadana Amor por Soacha</t>
  </si>
  <si>
    <t>COL-25754-003</t>
  </si>
  <si>
    <t>Mario Orlando Ballen Triana</t>
  </si>
  <si>
    <t>COL-25754-004</t>
  </si>
  <si>
    <t>Camilo Andres Nemocon Valenzuela</t>
  </si>
  <si>
    <t>Suacha Diferente</t>
  </si>
  <si>
    <t>COL-25754-005</t>
  </si>
  <si>
    <t>Jesus Ochoa Sanchez</t>
  </si>
  <si>
    <t>COL-25754-006</t>
  </si>
  <si>
    <t>Victor Julian Sanchez Acosta</t>
  </si>
  <si>
    <t>Perico</t>
  </si>
  <si>
    <t>COL-25754-007</t>
  </si>
  <si>
    <t>Heiner de Jesus Gaitan Parra</t>
  </si>
  <si>
    <t>Coalición Pacto Histórico Alianza Verde</t>
  </si>
  <si>
    <t>COL-25754-008</t>
  </si>
  <si>
    <t>Gloria Betty Zorro Africano</t>
  </si>
  <si>
    <t>Rescatemos a Soacha</t>
  </si>
  <si>
    <t>COL-25754-009</t>
  </si>
  <si>
    <t>Dany Rene Caicedo Vasquez</t>
  </si>
  <si>
    <t>Para Avanzar Mas</t>
  </si>
  <si>
    <t>COL-25754-010</t>
  </si>
  <si>
    <t>Luis Alfonso Agudelo Ibañez</t>
  </si>
  <si>
    <t>COL-08433-001</t>
  </si>
  <si>
    <t>Soledad</t>
  </si>
  <si>
    <t>08433</t>
  </si>
  <si>
    <t>Jose Joao Herrera Iranzo</t>
  </si>
  <si>
    <t>COL-08433-002</t>
  </si>
  <si>
    <t>Lidys Isabel Moreno de la Espriella</t>
  </si>
  <si>
    <t>COL-08433-003</t>
  </si>
  <si>
    <t>Leonardo Rafael Pereira Guerrero</t>
  </si>
  <si>
    <t>COL-08433-004</t>
  </si>
  <si>
    <t>Carlos Alberto Ortiz Pacheco</t>
  </si>
  <si>
    <t>COL-08433-005</t>
  </si>
  <si>
    <t>Jaiser Mendoza Palacio</t>
  </si>
  <si>
    <t>COL-08433-006</t>
  </si>
  <si>
    <t>Nelson Nicanor Navarro Navarro</t>
  </si>
  <si>
    <t>COL-08433-007</t>
  </si>
  <si>
    <t>Alcira Paola Sandoval Ibañez</t>
  </si>
  <si>
    <t>Estamos con Alcira</t>
  </si>
  <si>
    <t>COL-08433-008</t>
  </si>
  <si>
    <t>Elvira Patricia Gutierrez Hernandez</t>
  </si>
  <si>
    <t>COL-08433-009</t>
  </si>
  <si>
    <t>Oswaldo Rafael Sierra Ochoa</t>
  </si>
  <si>
    <t>COL-08433-010</t>
  </si>
  <si>
    <t>Nyle Jusquini Romero</t>
  </si>
  <si>
    <t>COL-08433-011</t>
  </si>
  <si>
    <t>Jaime Eduardo Martinez Gonzalez</t>
  </si>
  <si>
    <t>COL-15001-001</t>
  </si>
  <si>
    <t>Tunja</t>
  </si>
  <si>
    <t>Boyacá</t>
  </si>
  <si>
    <t>15001</t>
  </si>
  <si>
    <t>Vicente Anibal Ojeda Martinez</t>
  </si>
  <si>
    <t>Alianza por Tunja</t>
  </si>
  <si>
    <t>COL-15001-002</t>
  </si>
  <si>
    <t>Apuleyo Sanabria Vergara</t>
  </si>
  <si>
    <t>COL-15001-003</t>
  </si>
  <si>
    <t>Giovanny Andres Gomez Palomino</t>
  </si>
  <si>
    <t>COL-15001-004</t>
  </si>
  <si>
    <t>Carlos Enrique Vargas Angarita</t>
  </si>
  <si>
    <t>COL-15001-005</t>
  </si>
  <si>
    <t>Jonathan Armando Bosigas Malagon</t>
  </si>
  <si>
    <t>COL-15001-006</t>
  </si>
  <si>
    <t>Cesar Augusto Lopez Morales</t>
  </si>
  <si>
    <t>Tunja Merece Más</t>
  </si>
  <si>
    <t>COL-15001-007</t>
  </si>
  <si>
    <t>July Paola Acuña Rincon</t>
  </si>
  <si>
    <t>COL-15001-008</t>
  </si>
  <si>
    <t>John Ernesto Carrero Villamil</t>
  </si>
  <si>
    <t>Coalición John Carrero Alcalde</t>
  </si>
  <si>
    <t>COL-15001-009</t>
  </si>
  <si>
    <t>Mikhail Krasnov</t>
  </si>
  <si>
    <t>COL-20001-001</t>
  </si>
  <si>
    <t>Valledupar</t>
  </si>
  <si>
    <t>Cesar</t>
  </si>
  <si>
    <t>20001</t>
  </si>
  <si>
    <t>Ricardo Elias Reyes Lopez</t>
  </si>
  <si>
    <t>COL-20001-002</t>
  </si>
  <si>
    <t>Lina Maria de Armas Daza</t>
  </si>
  <si>
    <t>COL-20001-003</t>
  </si>
  <si>
    <t>Darling Francisca Guevara Gomez</t>
  </si>
  <si>
    <t>COL-20001-004</t>
  </si>
  <si>
    <t>Alvaro Ernesto Portilla Molina</t>
  </si>
  <si>
    <t>COL-20001-005</t>
  </si>
  <si>
    <t>Christian Jose Moreno Villamizar</t>
  </si>
  <si>
    <t>COL-20001-006</t>
  </si>
  <si>
    <t>Miguel Antonio Morales Campo</t>
  </si>
  <si>
    <t>COL-20001-007</t>
  </si>
  <si>
    <t>Ernesto Miguel Orozco Duran</t>
  </si>
  <si>
    <t>Arreglemos Esto</t>
  </si>
  <si>
    <t>COL-20001-008</t>
  </si>
  <si>
    <t>Camilo Andres Quiroz Hinojosa</t>
  </si>
  <si>
    <t>Camilo Quiroz Alcalde</t>
  </si>
  <si>
    <t>COL-20001-009</t>
  </si>
  <si>
    <t>Ricardo Augusto Vives Fernandez</t>
  </si>
  <si>
    <t>COL-20001-010</t>
  </si>
  <si>
    <t>Maria Isabel Campo Cuello</t>
  </si>
  <si>
    <t>Renacer Vallenato</t>
  </si>
  <si>
    <t>COL-50001-001</t>
  </si>
  <si>
    <t>Villavicencio</t>
  </si>
  <si>
    <t>Meta</t>
  </si>
  <si>
    <t>50001</t>
  </si>
  <si>
    <t>Santiago Vargas Serrano</t>
  </si>
  <si>
    <t>COL-50001-002</t>
  </si>
  <si>
    <t>Jeny Johana Mesa Suarez</t>
  </si>
  <si>
    <t>COL-50001-003</t>
  </si>
  <si>
    <t>Juan Camilo Chavez Niño</t>
  </si>
  <si>
    <t>Por Villavicencio</t>
  </si>
  <si>
    <t>COL-50001-004</t>
  </si>
  <si>
    <t>Rube Aurora Garcia Sanchez</t>
  </si>
  <si>
    <t>Ruby Alcaldesa</t>
  </si>
  <si>
    <t>COL-50001-005</t>
  </si>
  <si>
    <t>Alexander Baquero Sanabria</t>
  </si>
  <si>
    <t>Recuperemos Villavo</t>
  </si>
  <si>
    <t>COL-50001-006</t>
  </si>
  <si>
    <t>Walter Manuel Lacharme Narvaez</t>
  </si>
  <si>
    <t>COL-50001-007</t>
  </si>
  <si>
    <t>Oscar Armando Alejo Cano</t>
  </si>
  <si>
    <t>Villavo te Necesita</t>
  </si>
  <si>
    <t>COL-50001-008</t>
  </si>
  <si>
    <t>Mario Alberto Romero Arismendy</t>
  </si>
  <si>
    <t>COL-50001-009</t>
  </si>
  <si>
    <t>Jacqueline Henao Naranjo</t>
  </si>
  <si>
    <t>COL-50001-010</t>
  </si>
  <si>
    <t>Humberto Zamora Leon</t>
  </si>
  <si>
    <t>COL-50001-011</t>
  </si>
  <si>
    <t>Hector Hugo Lopez Burgos</t>
  </si>
  <si>
    <t>Profe Hugo Lopez Alcalde</t>
  </si>
  <si>
    <t>COL-50001-012</t>
  </si>
  <si>
    <t>Pablo de la Cruz Almanza</t>
  </si>
  <si>
    <t>COL-50001-013</t>
  </si>
  <si>
    <t>Rodolfo Abelardo Cruz Cruz</t>
  </si>
  <si>
    <t>COL-50001-014</t>
  </si>
  <si>
    <t>Ricardo Gomez Botero</t>
  </si>
  <si>
    <t>COL-50001-015</t>
  </si>
  <si>
    <t>Alonso Garay Cajamarca</t>
  </si>
  <si>
    <t>COL-50001-016</t>
  </si>
  <si>
    <t>Irina Colette Salas Londoño</t>
  </si>
  <si>
    <t>Somos la Fuerza</t>
  </si>
  <si>
    <t>Instagram</t>
  </si>
  <si>
    <t>X / Twitter</t>
  </si>
  <si>
    <t>TikTok</t>
  </si>
  <si>
    <t>Facebook</t>
  </si>
  <si>
    <t>https://www.instagram.com/alejandrocharch/</t>
  </si>
  <si>
    <t>https://x.com/AlejandroChar</t>
  </si>
  <si>
    <t>https://www.tiktok.com/@alejandrocharch</t>
  </si>
  <si>
    <t>https://www.facebook.com/AlejandroCharCh</t>
  </si>
  <si>
    <t>https://www.instagram.com/carlosfernandogalan/</t>
  </si>
  <si>
    <t>https://x.com/CarlosFGalan</t>
  </si>
  <si>
    <t>https://www.tiktok.com/@carlosfgalan</t>
  </si>
  <si>
    <t>https://www.facebook.com/carlosfgalan</t>
  </si>
  <si>
    <t>https://x.com/GustavoBolivar</t>
  </si>
  <si>
    <t>https://x.com/soyjaimeandres</t>
  </si>
  <si>
    <t>https://www.tiktok.com/@soyjaimeandres</t>
  </si>
  <si>
    <t>https://www.facebook.com/soyjaimeandres</t>
  </si>
  <si>
    <t>https://www.instagram.com/alejoeder/</t>
  </si>
  <si>
    <t>https://x.com/alejoeder</t>
  </si>
  <si>
    <t>https://www.tiktok.com/@alejoeder</t>
  </si>
  <si>
    <t>https://www.facebook.com/alejoederg</t>
  </si>
  <si>
    <t>https://www.instagram.com/dumek_turbay/</t>
  </si>
  <si>
    <t>https://x.com/dumek_turbay</t>
  </si>
  <si>
    <t>https://www.facebook.com/DumekTurbayP</t>
  </si>
  <si>
    <t>https://www.instagram.com/ficogutierrez/</t>
  </si>
  <si>
    <t>https://x.com/FicoGutierrez</t>
  </si>
  <si>
    <t>https://www.tiktok.com/@ficogutierrez</t>
  </si>
  <si>
    <t>https://www.facebook.com/FicoGutierrezZ</t>
  </si>
  <si>
    <t>N° Candidatos</t>
  </si>
  <si>
    <t>Total Votos Candidatos</t>
  </si>
  <si>
    <t>Alcalde Electo</t>
  </si>
  <si>
    <t>Partido Ganador</t>
  </si>
  <si>
    <t>Votos Ganador</t>
  </si>
  <si>
    <t>#</t>
  </si>
  <si>
    <t>Población 2023</t>
  </si>
  <si>
    <t>Fuente</t>
  </si>
  <si>
    <t>DANE – Proyecciones de población post-CNPV 2018</t>
  </si>
  <si>
    <t>TOTAL</t>
  </si>
  <si>
    <t>Fuente: Proyecciones de población con actualización post COVID-19, calculadas con base en el Censo Nacional de Población y Vivienda (CNPV) 2018. DANE, Colombia.</t>
  </si>
  <si>
    <t>https://www.instagram.com/jdoviedoar/</t>
  </si>
  <si>
    <t>https://x.com/JDOviedoAr</t>
  </si>
  <si>
    <t>https://www.tiktok.com/@jdoviedoar</t>
  </si>
  <si>
    <t>https://www.facebook.com/JDOviedoAr/</t>
  </si>
  <si>
    <t>https://www.instagram.com/gustavo_bolivar/</t>
  </si>
  <si>
    <t>https://www.tiktok.com/@gustavobolivarmoreno</t>
  </si>
  <si>
    <t>https://www.facebook.com/gustavoBolivarSenador/?locale=es_LA</t>
  </si>
  <si>
    <t>https://www.facebook.com/robertoortizu</t>
  </si>
  <si>
    <t>https://www.instagram.com/robertoortizcali/</t>
  </si>
  <si>
    <t>https://x.com/robertoortizu</t>
  </si>
  <si>
    <t>https://www.tiktok.com/@robertoortizcali</t>
  </si>
  <si>
    <t>https://www.tiktok.com/@dumek_turbay</t>
  </si>
  <si>
    <t>https://www.instagram.com/jorgeerojasg/</t>
  </si>
  <si>
    <t>https://x.com/JorgeERojasG</t>
  </si>
  <si>
    <t>https://www.tiktok.com/@jorgeeduardorojas0</t>
  </si>
  <si>
    <t>https://www.facebook.com/Jorge.Eduardo.Rojas.Giraldo</t>
  </si>
  <si>
    <t>https://www.instagram.com/hugokerguelen/?hl=es</t>
  </si>
  <si>
    <t>https://x.com/kerguelenhugo</t>
  </si>
  <si>
    <t>https://www.tiktok.com/@hugokerguelen</t>
  </si>
  <si>
    <t>https://www.facebook.com/hugokerguelengarcia/?locale=eu_ES</t>
  </si>
  <si>
    <t>https://www.instagram.com/juancaupeguiv/</t>
  </si>
  <si>
    <t>https://x.com/JuanCaUpeguiV</t>
  </si>
  <si>
    <t xml:space="preserve">https://www.tiktok.com/@juancaupeguiv </t>
  </si>
  <si>
    <t>https://www.facebook.com/juancaupeguiv/</t>
  </si>
  <si>
    <t>https://www.instagram.com/soyjaimeandres/reels/</t>
  </si>
  <si>
    <t>https://www.instagram.com/jorgeacevedooficial/</t>
  </si>
  <si>
    <t>https://www.facebook.com/jorgeacevedooficial</t>
  </si>
  <si>
    <t xml:space="preserve">https://www.tiktok.com/@jorgeacevedooficial </t>
  </si>
  <si>
    <t>https://x.com/Jorgeacevedocuc/with_replies</t>
  </si>
  <si>
    <t>https://x.com/nlopezfuentes</t>
  </si>
  <si>
    <t>https://www.facebook.com/natalialofuentes</t>
  </si>
  <si>
    <t xml:space="preserve">https://www.tiktok.com/@nlopezfuentes </t>
  </si>
  <si>
    <t xml:space="preserve">https://www.instagram.com/natalialopezfuentes/ </t>
  </si>
  <si>
    <t>https://www.instagram.com/soyleojacome/</t>
  </si>
  <si>
    <t>https://x.com/Soyleojacome_</t>
  </si>
  <si>
    <t xml:space="preserve">https://www.tiktok.com/@soyleojacome1 </t>
  </si>
  <si>
    <t xml:space="preserve">https://www.facebook.com/leo.jacome.3532/ </t>
  </si>
  <si>
    <t xml:space="preserve">https://www.facebook.com/DanisRenteriaChala/ </t>
  </si>
  <si>
    <t xml:space="preserve">https://www.tiktok.com/@danis_renteria </t>
  </si>
  <si>
    <t xml:space="preserve">https://x.com/DanisRenteria </t>
  </si>
  <si>
    <t>https://www.instagram.com/danisrenteria</t>
  </si>
  <si>
    <t>https://www.facebook.com/jorgeagudeloapreza/</t>
  </si>
  <si>
    <t xml:space="preserve">https://x.com/JorgeAgudeloA </t>
  </si>
  <si>
    <t xml:space="preserve">https://www.tiktok.com/@jorgeagudeloa </t>
  </si>
  <si>
    <t xml:space="preserve">https://www.instagram.com/jorgeagudeloapreza/ </t>
  </si>
  <si>
    <t xml:space="preserve">https://www.tiktok.com/@carlosapinedocuello </t>
  </si>
  <si>
    <t xml:space="preserve">https://www.instagram.com/carlospinedocuello/ </t>
  </si>
  <si>
    <t>https://www.facebook.com/CarlosAlbertoPinedoCuello</t>
  </si>
  <si>
    <t xml:space="preserve">https://x.com/CarlosPinedoC </t>
  </si>
  <si>
    <t xml:space="preserve">https://www.instagram.com/alcirasandovali/ </t>
  </si>
  <si>
    <t xml:space="preserve">https://www.facebook.com/alcira.sandoval.56679/ </t>
  </si>
  <si>
    <t xml:space="preserve">https://x.com/alcirasandovali </t>
  </si>
  <si>
    <t xml:space="preserve">https://www.tiktok.com/@alcirasandovali </t>
  </si>
  <si>
    <t xml:space="preserve">https://x.com/MSalazar2014 </t>
  </si>
  <si>
    <t xml:space="preserve">https://www.tiktok.com/@mauriciosalazarpelaez </t>
  </si>
  <si>
    <t xml:space="preserve">https://www.instagram.com/mauriciosalazarpelaez </t>
  </si>
  <si>
    <t xml:space="preserve">https://www.facebook.com/mauriciosalazarpelaez </t>
  </si>
  <si>
    <t xml:space="preserve">https://www.tiktok.com/@yahiracunaalcalde </t>
  </si>
  <si>
    <t xml:space="preserve">https://x.com/YahirAcunaCa </t>
  </si>
  <si>
    <t>https://www.facebook.com/yahiracunaalcalde/</t>
  </si>
  <si>
    <t xml:space="preserve">https://www.instagram.com/yahiracuna_/ </t>
  </si>
  <si>
    <t xml:space="preserve">https://www.facebook.com/johanaarandar </t>
  </si>
  <si>
    <t>https://www.instagram.com/johanaaranda_</t>
  </si>
  <si>
    <t>https://x.com/johanaaranda_</t>
  </si>
  <si>
    <t>https://www.tiktok.com/@johanaaranda_</t>
  </si>
  <si>
    <t xml:space="preserve">https://www.facebook.com/nicolastoro24/?locale=ur_PK </t>
  </si>
  <si>
    <t>https://www.instagram.com/nicolastoro25/</t>
  </si>
  <si>
    <t>https://x.com/NicolasToro2024</t>
  </si>
  <si>
    <t>https://www.tiktok.com/@nicolastoro2024</t>
  </si>
  <si>
    <t xml:space="preserve">https://www.tiktok.com/@jonathanvasquezgomez </t>
  </si>
  <si>
    <t>https://x.com/Jsvasquezg</t>
  </si>
  <si>
    <t>https://www.instagram.com/jonathanvasquezgomez/</t>
  </si>
  <si>
    <t>https://www.facebook.com/JonathanVasquezColombia</t>
  </si>
  <si>
    <t xml:space="preserve">https://www.tiktok.com/@ernestoorozcod </t>
  </si>
  <si>
    <t>https://www.instagram.com/ernestoorozcod/</t>
  </si>
  <si>
    <t>https://x.com/ErnestoOrozcoD</t>
  </si>
  <si>
    <t>https://www.facebook.com/ErnestoMOrozcoD/?locale=es_LA</t>
  </si>
  <si>
    <t>https://www.tiktok.com/@alexander.baquero2</t>
  </si>
  <si>
    <t>https://x.com/AlexBaqueroS</t>
  </si>
  <si>
    <t>https://www.instagram.com/alexbaqueros/</t>
  </si>
  <si>
    <t>https://www.instagram.com/jorgebolivaribague/</t>
  </si>
  <si>
    <t>https://www.facebook.com/jorgebolivaribague/?locale=es_LA</t>
  </si>
  <si>
    <t>https://www.instagram.com/rodrigolararestrepo/</t>
  </si>
  <si>
    <t>https://www.facebook.com/RodrigoLaraR</t>
  </si>
  <si>
    <t>https://x.com/Rodrigo_Lara_</t>
  </si>
  <si>
    <t>https://www.tiktok.com/@soyrodrigolara</t>
  </si>
  <si>
    <t>https://www.instagram.com/diegomolanoaponte/</t>
  </si>
  <si>
    <t>https://www.facebook.com/DiegoMolanoAponte</t>
  </si>
  <si>
    <t>https://x.com/Diego_Molano</t>
  </si>
  <si>
    <t>https://www.tiktok.com/@diegomolanoa</t>
  </si>
  <si>
    <t>https://www.facebook.com/lorenagonzalezospina/reels/</t>
  </si>
  <si>
    <t>https://x.com/Lore_GonzalezOs</t>
  </si>
  <si>
    <t>https://www.tiktok.com/@lore_gonzalezospina</t>
  </si>
  <si>
    <t>https://www.instagram.com/lore_gonzalezospina/</t>
  </si>
  <si>
    <t>https://www.instagram.com/maicolopera/</t>
  </si>
  <si>
    <t>https://www.facebook.com/maicolopera</t>
  </si>
  <si>
    <t>https://x.com/maicolopera</t>
  </si>
  <si>
    <t>https://www.tiktok.com/@maicolopera</t>
  </si>
  <si>
    <t>https://www.facebook.com/Juancachavezn/?locale=es_LA</t>
  </si>
  <si>
    <t>https://www.instagram.com/juancachavezn/</t>
  </si>
  <si>
    <t>https://x.com/juancachavezn</t>
  </si>
  <si>
    <t>https://www.tiktok.com/@juancamilochavez</t>
  </si>
  <si>
    <t>https://www.instagram.com/julianpericojr/</t>
  </si>
  <si>
    <t>https://x.com/JulianPericoJr</t>
  </si>
  <si>
    <t>https://www.facebook.com/JulianPericoJr/?locale=es_LA</t>
  </si>
  <si>
    <t>https://www.tiktok.com/@julianperico</t>
  </si>
  <si>
    <t>https://x.com/victorramospal</t>
  </si>
  <si>
    <t>https://www.facebook.com/victorramospal/?locale=es_LA</t>
  </si>
  <si>
    <t>https://www.instagram.com/victorramospal/</t>
  </si>
  <si>
    <t>https://www.tiktok.com/@victorramospal</t>
  </si>
  <si>
    <t>https://www.facebook.com/Germancasaguab/videos/</t>
  </si>
  <si>
    <t>https://www.tiktok.com/@germancasaguab?lang=es-419</t>
  </si>
  <si>
    <t>https://x.com/germancasaguab</t>
  </si>
  <si>
    <t>https://www.instagram.com/germancasaguab/?hl=es-la</t>
  </si>
  <si>
    <t>https://www.instagram.com/javierjuliob/</t>
  </si>
  <si>
    <t>https://x.com/javierjuliob/</t>
  </si>
  <si>
    <t>https://www.tiktok.com/@javierjuliob</t>
  </si>
  <si>
    <t>https://www.facebook.com/javierjuliob</t>
  </si>
  <si>
    <t>https://www.instagram.com/nestor.restrepob/</t>
  </si>
  <si>
    <t>https://x.com/nestorrestrepob</t>
  </si>
  <si>
    <t>https://www.tiktok.com/@nestor.restrepob</t>
  </si>
  <si>
    <t>https://www.facebook.com/nedarebon/</t>
  </si>
  <si>
    <t>https://www.instagram.com/jose.fernando.sanchez/</t>
  </si>
  <si>
    <t>https://www.facebook.com/JoseFernandoSanchezOficial/</t>
  </si>
  <si>
    <t>https://www.tiktok.com/@josefernandosanchezc</t>
  </si>
  <si>
    <t>https://x.com/JoseFsanchezc</t>
  </si>
  <si>
    <t>https://www.instagram.com/joaoherrera/?hl=es</t>
  </si>
  <si>
    <t>https://x.com/herrerajoao1</t>
  </si>
  <si>
    <t>https://www.tiktok.com/@joao_herrera</t>
  </si>
  <si>
    <t>https://www.facebook.com/herrerajoao1</t>
  </si>
  <si>
    <t>https://www.instagram.com/danny_caicedo/</t>
  </si>
  <si>
    <t>https://x.com/dannycaiced</t>
  </si>
  <si>
    <t>https://www.tiktok.com/@dannycaiced0</t>
  </si>
  <si>
    <t>https://www.facebook.com/dannycaicedosoacha/</t>
  </si>
  <si>
    <t>https://x.com/JORGE_BOLIVAR</t>
  </si>
  <si>
    <t>https://www.tiktok.com/@jorgebolivaribague</t>
  </si>
  <si>
    <t>https://www.instagram.com/antoniobohorquez_/</t>
  </si>
  <si>
    <t>https://x.com/bohorquezesova</t>
  </si>
  <si>
    <t>https://www.tiktok.com/@antonio_bohorquez</t>
  </si>
  <si>
    <t>https://www.facebook.com/antonio.e.collazos/</t>
  </si>
  <si>
    <t>https://www.tiktok.com/@raulcardona_envigado</t>
  </si>
  <si>
    <t>https://x.com/RaulCardonaENV</t>
  </si>
  <si>
    <t>https://www.facebook.com/RaulCardonaEnvigado/?locale=es_LA</t>
  </si>
  <si>
    <t>https://www.instagram.com/raulcardona_envigado/</t>
  </si>
  <si>
    <t>https://www.instagram.com/diegotorresitagui/</t>
  </si>
  <si>
    <t>https://x.com/DiegoTItagui</t>
  </si>
  <si>
    <t>https://www.tiktok.com/@diegotorresitagui</t>
  </si>
  <si>
    <t>https://www.facebook.com/diegoTItagui/</t>
  </si>
  <si>
    <t>https://www.instagram.com/Marioenriquezch</t>
  </si>
  <si>
    <t>https://x.com/Marioenriquez83</t>
  </si>
  <si>
    <t>https://www.facebook.com/marioernesto.enriquezchenas</t>
  </si>
  <si>
    <t>https://www.tiktok.com/@Marioenriquezchenas</t>
  </si>
  <si>
    <t>https://www.facebook.com/juancarlosgarciaherreros/</t>
  </si>
  <si>
    <t>https://x.com/GarciaHerrerosJ</t>
  </si>
  <si>
    <t>https://www.tiktok.com/@juancarlosgarciaherreros</t>
  </si>
  <si>
    <t>https://www.instagram.com/juancarlosgarciaherreros/</t>
  </si>
  <si>
    <t>https://www.instagram.com/ligiacordobamartinez/</t>
  </si>
  <si>
    <t>https://www.instagram.com/diegomercadosanabria/</t>
  </si>
  <si>
    <t>https://www.facebook.com/LigiadelCarmenCordoba/</t>
  </si>
  <si>
    <t>https://x.com/LigiadelcarmenC</t>
  </si>
  <si>
    <t>https://www.tiktok.com/@ligia_del_carmen1</t>
  </si>
  <si>
    <t>https://www.instagram.com/irinasalasl/</t>
  </si>
  <si>
    <t>https://www.facebook.com/IrinaSalasL/</t>
  </si>
  <si>
    <t>https://x.com/IrinaSalasL</t>
  </si>
  <si>
    <t>https://www.tiktok.com/@irinacsalas</t>
  </si>
  <si>
    <t>https://x.com/CarlosParraBUC</t>
  </si>
  <si>
    <t>https://www.instagram.com/carlosparrabuc/</t>
  </si>
  <si>
    <t>https://www.tiktok.com/@carlosparrabga</t>
  </si>
  <si>
    <t>https://www.facebook.com/CarlosParraBUC</t>
  </si>
  <si>
    <t>https://www.facebook.com/DiegoMercadoSanabria/</t>
  </si>
  <si>
    <t>https://www.instagram.com/judithpinedo_/</t>
  </si>
  <si>
    <t>https://x.com/MariamulataCTG</t>
  </si>
  <si>
    <t>https://www.tiktok.com/@judithpinedo_</t>
  </si>
  <si>
    <t>https://www.facebook.com/p/Judith-Pinedo-100079535374119/</t>
  </si>
  <si>
    <t>https://www.instagram.com/hectorfabiovelascoh/</t>
  </si>
  <si>
    <t>https://www.facebook.com/hectorfabio.velascohernandez.5/</t>
  </si>
  <si>
    <t>https://x.com/hectorfabio_</t>
  </si>
  <si>
    <t>https://www.tiktok.com/@hectorfabiovelascohe</t>
  </si>
  <si>
    <t>https://www.instagram.com/juancarlosmunoz_acp/?hl=es-la</t>
  </si>
  <si>
    <t>https://x.com/JuanCarlosM_B</t>
  </si>
  <si>
    <t>https://www.tiktok.com/@juancarlosmunoz_acp</t>
  </si>
  <si>
    <t>https://www.facebook.com/juancarlosmunozacp/?locale=es_LA</t>
  </si>
  <si>
    <t>https://www.instagram.com/joseluisdiagof</t>
  </si>
  <si>
    <t>https://www.facebook.com/joseluisdiagof</t>
  </si>
  <si>
    <t>https://www.tiktok.com/@joseluisdiagof</t>
  </si>
  <si>
    <t>https://www.instagram.com/williamgarciatirado_/</t>
  </si>
  <si>
    <t>https://x.com/williamgarciatd</t>
  </si>
  <si>
    <t>https://www.tiktok.com/@williamgarciatd</t>
  </si>
  <si>
    <t>https://www.facebook.com/williamrgarciatirado</t>
  </si>
  <si>
    <t>https://www.instagram.com/jamespadillag/</t>
  </si>
  <si>
    <t>https://www.facebook.com/JamesPadillaGar/</t>
  </si>
  <si>
    <t>https://x.com/jamespadillag</t>
  </si>
  <si>
    <t>https://www.tiktok.com/@jamespadillag</t>
  </si>
  <si>
    <t>https://www.instagram.com/miyerlandit/</t>
  </si>
  <si>
    <t>https://www.tiktok.com/@miyerlandit</t>
  </si>
  <si>
    <t>https://www.facebook.com/MiyerlandiTorresA/</t>
  </si>
  <si>
    <t>https://x.com/MiyerlandiT</t>
  </si>
  <si>
    <t>https://www.instagram.com/jorge_enrique_robledo</t>
  </si>
  <si>
    <t>https://x.com/JERobledo</t>
  </si>
  <si>
    <t>https://www.tiktok.com/@jerobledo</t>
  </si>
  <si>
    <t>https://www.facebook.com/jorge.robledo.castillo</t>
  </si>
  <si>
    <t>https://www.instagram.com/fabianoviedop/</t>
  </si>
  <si>
    <t>https://x.com/FabianOviedoP</t>
  </si>
  <si>
    <t>https://www.facebook.com/FabianOviedoP#</t>
  </si>
  <si>
    <t>https://www.tiktok.com/@fabian_oviedop</t>
  </si>
  <si>
    <t>https://www.instagram.com/leonmariobedoyalopez</t>
  </si>
  <si>
    <t>https://x.com/LEONBEDOYA</t>
  </si>
  <si>
    <t>https://www.tiktok.com/@leonmariobedoya</t>
  </si>
  <si>
    <t>https://www.facebook.com/LeonMarioBedoyaLopez</t>
  </si>
  <si>
    <t>https://www.instagram.com/rosaacevedoj/</t>
  </si>
  <si>
    <t>https://x.com/RosaAcevedoJ</t>
  </si>
  <si>
    <t>https://www.tiktok.com/@rosaacevedoj</t>
  </si>
  <si>
    <t>https://www.facebook.com/RosaAcevedoJ/</t>
  </si>
  <si>
    <t>https://www.instagram.com/sergioflechas/</t>
  </si>
  <si>
    <t>https://x.com/sergioflechas</t>
  </si>
  <si>
    <t>https://www.tiktok.com/@sergioflechas</t>
  </si>
  <si>
    <t>https://www.facebook.com/SergioFlechas10/</t>
  </si>
  <si>
    <t>https://www.instagram.com/stevencardenas1/</t>
  </si>
  <si>
    <t>https://x.com/Steven_Cardenas</t>
  </si>
  <si>
    <t>https://www.tiktok.com/@stevencardenas1</t>
  </si>
  <si>
    <t>https://www.facebook.com/stevencardenasconcejal/?locale=es_LA</t>
  </si>
  <si>
    <t>https://www.instagram.com/general_vargas</t>
  </si>
  <si>
    <t>https://www.tiktok.com/@general_vargas</t>
  </si>
  <si>
    <t>https://x.com/ElGeneralVargas</t>
  </si>
  <si>
    <t>https://www.facebook.com/ElGeneralVargas/</t>
  </si>
  <si>
    <t>https://www.instagram.com/dianafuentesmeneses</t>
  </si>
  <si>
    <t>https://www.tiktok.com/@dianafuentesmeneses</t>
  </si>
  <si>
    <t>https://www.facebook.com/dianafuentesmeneses1/</t>
  </si>
  <si>
    <t>https://www.instagram.com/genaroredondoc/</t>
  </si>
  <si>
    <t>https://x.com/GenaroRedondoC</t>
  </si>
  <si>
    <t>https://www.tiktok.com/@genaroredondocholes</t>
  </si>
  <si>
    <t>https://www.facebook.com/GenaroRedondoC/</t>
  </si>
  <si>
    <t>https://www.instagram.com/hectorrangelp/</t>
  </si>
  <si>
    <t>https://x.com/HectorRangelPal</t>
  </si>
  <si>
    <t>https://www.tiktok.com/@hectorrangelp</t>
  </si>
  <si>
    <t>https://www.facebook.com/hectorrangelpalacios/?locale=es_LA</t>
  </si>
  <si>
    <t>https://www.facebook.com/elkindavidbueno/?locale=es_LA</t>
  </si>
  <si>
    <t>https://www.facebook.com/albertyordanocorredor/?locale=es_LA</t>
  </si>
  <si>
    <t>https://www.instagram.com/elkindavidbueno/</t>
  </si>
  <si>
    <t>https://x.com/elkindavidbueno/with_replies</t>
  </si>
  <si>
    <t>https://www.tiktok.com/@elkin.david.bueno</t>
  </si>
  <si>
    <t>gano</t>
  </si>
  <si>
    <t xml:space="preserve">https://www.instagram.com/jhonyvelezquintero/ </t>
  </si>
  <si>
    <t xml:space="preserve">https://www.facebook.com/jhony.velez.quintero.2025/ </t>
  </si>
  <si>
    <t>https://x.com/ElRusoAlcalde</t>
  </si>
  <si>
    <t>https://www.facebook.com/profesor.mijael.krasnov/</t>
  </si>
  <si>
    <t>https://www.tiktok.com/@proferusoalcalde</t>
  </si>
  <si>
    <t>https://www.instagram.com/proferuso_alcalde/</t>
  </si>
  <si>
    <t>https://www.instagram.com/albertcorredor/?hl=es-la</t>
  </si>
  <si>
    <t>https://x.com/AlbertCorredor</t>
  </si>
  <si>
    <t>https://www.tiktok.com/@albertcorredor_</t>
  </si>
  <si>
    <t>https://www.instagram.com/joseduranro/</t>
  </si>
  <si>
    <t>https://x.com/josedurancamara</t>
  </si>
  <si>
    <t>https://www.facebook.com/joseduranro/?locale=es_LA</t>
  </si>
  <si>
    <t xml:space="preserve">https://www.tiktok.com/@joseignarojas </t>
  </si>
  <si>
    <t>https://www.instagram.com/joseignarojas/</t>
  </si>
  <si>
    <t>https://www.facebook.com/Joseignaciorojasoficial/</t>
  </si>
  <si>
    <t>https://www.facebook.com/elviragutierrezsoledad/?locale=es_LA</t>
  </si>
  <si>
    <t>https://www.tiktok.com/@evragutierrez</t>
  </si>
  <si>
    <t>https://x.com/elviragh_</t>
  </si>
  <si>
    <t>https://www.instagram.com/elviragutierrezh_/</t>
  </si>
  <si>
    <t>https://www.instagram.com/cristianjosemoreno/</t>
  </si>
  <si>
    <t>https://x.com/CJoseMoreno</t>
  </si>
  <si>
    <t>https://www.tiktok.com/@christianjmoreno</t>
  </si>
  <si>
    <t>https://www.facebook.com/cristianjosemorenovillamizar/</t>
  </si>
  <si>
    <t>https://www.instagram.com/robertojimenezdosquebradas/</t>
  </si>
  <si>
    <t>https://www.tiktok.com/@robertojimenezof?_t=8cexpyzfhyq&amp;_r=1</t>
  </si>
  <si>
    <t>https://x.com/robertoDdas23</t>
  </si>
  <si>
    <t>https://www.facebook.com/Robertojimenezdosquebradas</t>
  </si>
  <si>
    <t>https://www.facebook.com/jorgenavasgranados/?locale=es_LA</t>
  </si>
  <si>
    <t>https://www.tiktok.com/@jorge_navas</t>
  </si>
  <si>
    <t>https://x.com/JorgeANavasG</t>
  </si>
  <si>
    <t>https://www.instagram.com/jorgenavasgranados/</t>
  </si>
  <si>
    <t>https://www.facebook.com/joseluisosoriogalviis/mentions/</t>
  </si>
  <si>
    <t>https://x.com/JoseOsorioG</t>
  </si>
  <si>
    <t>https://www.instagram.com/joseosoriog/</t>
  </si>
  <si>
    <t>https://www.tiktok.com/@joseosoriogalvis</t>
  </si>
  <si>
    <t>https://www.instagram.com/horaciojserpa/</t>
  </si>
  <si>
    <t>https://www.tiktok.com/@horaciojserpa</t>
  </si>
  <si>
    <t>https://x.com/horaciojserpa</t>
  </si>
  <si>
    <t>https://www.facebook.com/horaciojserpa</t>
  </si>
  <si>
    <t>https://www.instagram.com/tatianalopezsaldarriaga/</t>
  </si>
  <si>
    <t>https://www.instagram.com/libiamosqueraviveros/</t>
  </si>
  <si>
    <t>https://www.tiktok.com/@tatianalopezsaldarriaga</t>
  </si>
  <si>
    <t>https://x.com/TatianaLopSal</t>
  </si>
  <si>
    <t>https://www.facebook.com/TatianaLopezSaldarriagaA</t>
  </si>
  <si>
    <t>https://www.instagram.com/consueloberraca</t>
  </si>
  <si>
    <t>https://www.tiktok.com/@consueloberraca</t>
  </si>
  <si>
    <t>https://x.com/consuelordonez</t>
  </si>
  <si>
    <t>https://www.facebook.com/ConsueloBerraca</t>
  </si>
  <si>
    <t>https://www.instagram.com/pautorosantana/</t>
  </si>
  <si>
    <t>https://x.com/pautorosantana</t>
  </si>
  <si>
    <t>https://www.tiktok.com/@pautorosantana</t>
  </si>
  <si>
    <t>https://www.facebook.com/pautorosantana</t>
  </si>
  <si>
    <t>https://www.instagram.com/adolforomerolider/</t>
  </si>
  <si>
    <t>https://x.com/AdolfoRomeroB</t>
  </si>
  <si>
    <t>https://www.facebook.com/adolforomerob</t>
  </si>
  <si>
    <t>https://www.instagram.com/camiloquirozh/</t>
  </si>
  <si>
    <t>https://x.com/camiloquirozh</t>
  </si>
  <si>
    <t>https://www.tiktok.com/@camiloquirozh</t>
  </si>
  <si>
    <t>https://www.facebook.com/CamiloQuirozHinojosa/</t>
  </si>
  <si>
    <t>https://www.facebook.com/eribertoibarrac/</t>
  </si>
  <si>
    <t>https://www.tiktok.com/@eribertoibarrac</t>
  </si>
  <si>
    <t>https://x.com/betoibarra2020</t>
  </si>
  <si>
    <t>https://www.instagram.com/eribertoibarrac/</t>
  </si>
  <si>
    <t>https://www.instagram.com/oscarmauriciotoro/</t>
  </si>
  <si>
    <t>https://x.com/omauriciotoro</t>
  </si>
  <si>
    <t>https://www.tiktok.com/@omaurotoro</t>
  </si>
  <si>
    <t>https://www.facebook.com/omaurotoro</t>
  </si>
  <si>
    <t>https://www.instagram.com/marcohincapie</t>
  </si>
  <si>
    <t>https://x.com/marcoemiliohr</t>
  </si>
  <si>
    <t>https://www.tiktok.com/@marco_hincapie</t>
  </si>
  <si>
    <t>https://www.facebook.com/MarcoHincapieR/</t>
  </si>
  <si>
    <t>https://www.facebook.com/libia.mosqueraviveros/</t>
  </si>
  <si>
    <t>https://x.com/libiamosquerav</t>
  </si>
  <si>
    <t>https://www.tiktok.com/@libiamosquerav</t>
  </si>
  <si>
    <t>https://www.instagram.com/heinergaitan_/</t>
  </si>
  <si>
    <t>https://x.com/HeinerGaitan</t>
  </si>
  <si>
    <t>https://www.tiktok.com/@heinergaitan_</t>
  </si>
  <si>
    <t>https://www.facebook.com/GaitanParraHeiner/</t>
  </si>
  <si>
    <t>https://www.instagram.com/miguelmorales_lavoz/</t>
  </si>
  <si>
    <t>https://www.facebook.com/MiguelMoralesOficial/</t>
  </si>
  <si>
    <t>https://x.com/mmoraleslavoz</t>
  </si>
  <si>
    <t>https://www.tiktok.com/@miguelmoraleslavoz</t>
  </si>
  <si>
    <t>https://www.facebook.com/PadreHuerfano1/</t>
  </si>
  <si>
    <t>https://www.instagram.com/hassanfares1970/</t>
  </si>
  <si>
    <t>https://www.facebook.com/RenzoGarciaP/?locale=es_LA</t>
  </si>
  <si>
    <t>https://x.com/renzogarciap</t>
  </si>
  <si>
    <t>https://www.instagram.com/renzo.garcia1</t>
  </si>
  <si>
    <t>https://www.tiktok.com/@renzo.garcia1</t>
  </si>
  <si>
    <t>https://www.instagram.com/lavallecaucana</t>
  </si>
  <si>
    <t>https://x.com/LaVallecaucana</t>
  </si>
  <si>
    <t>https://www.tiktok.com/@lavallecaucana</t>
  </si>
  <si>
    <t>https://www.facebook.com/LaVallecaucana</t>
  </si>
  <si>
    <t>https://www.instagram.com/Osoriobotelloconcejal</t>
  </si>
  <si>
    <t>https://www.facebook.com/OsorioBotelloAlcalde</t>
  </si>
  <si>
    <t>https://www.instagram.com/john.carrerov/</t>
  </si>
  <si>
    <t>https://x.com/John_Carrero</t>
  </si>
  <si>
    <t>https://www.instagram.com/curaordonezsm/reels/</t>
  </si>
  <si>
    <t>https://www.instagram.com/figueroafernandezmario/</t>
  </si>
  <si>
    <t>https://x.com/mariofigueroaf</t>
  </si>
  <si>
    <t>https://www.tiktok.com/@mario_figueroa015</t>
  </si>
  <si>
    <t>https://www.facebook.com/mario.figueroafernandez.756/</t>
  </si>
  <si>
    <t>https://www.instagram.com/claudiandradegonzalez/</t>
  </si>
  <si>
    <t>https://x.com/Claudia1Andrade</t>
  </si>
  <si>
    <t>https://www.tiktok.com/@claudiaandradegonzalez</t>
  </si>
  <si>
    <t>https://www.facebook.com/Claudia.Andrade.2022/</t>
  </si>
  <si>
    <t>https://www.instagram.com/fernandomurilloorrego/</t>
  </si>
  <si>
    <t>https://www.instagram.com/yilberleandrosaavedra/</t>
  </si>
  <si>
    <t>https://x.com/murillofer71</t>
  </si>
  <si>
    <t>https://www.tiktok.com/@fernandomurilloor71</t>
  </si>
  <si>
    <t>https://www.facebook.com/fernandomurilloorrego/?locale=es_LA</t>
  </si>
  <si>
    <t>https://www.instagram.com/sergiomolinape/</t>
  </si>
  <si>
    <t>https://www.facebook.com/sergiomolinape/</t>
  </si>
  <si>
    <t>https://www.instagram.com/elmarioromero/</t>
  </si>
  <si>
    <t>https://www.facebook.com/elmarioromero</t>
  </si>
  <si>
    <t>https://x.com/romeromario87</t>
  </si>
  <si>
    <t>https://www.tiktok.com/@elmarioromero</t>
  </si>
  <si>
    <t>https://www.instagram.com/nilsavillotarosero/</t>
  </si>
  <si>
    <t>https://x.com/NilsaVillotaR</t>
  </si>
  <si>
    <t>https://www.tiktok.com/@nilsavillotarosero</t>
  </si>
  <si>
    <t>https://www.facebook.com/NilsaVillotaR/</t>
  </si>
  <si>
    <t>https://www.instagram.com/bettyzorro/</t>
  </si>
  <si>
    <t>https://www.instagram.com/paulinaaguinaga/</t>
  </si>
  <si>
    <t>https://x.com/BettyZorro</t>
  </si>
  <si>
    <t>https://www.tiktok.com/@betty.zorro</t>
  </si>
  <si>
    <t>https://www.facebook.com/BettyZorroA/</t>
  </si>
  <si>
    <t>https://x.com/Nicolas_ramos_b</t>
  </si>
  <si>
    <t>https://www.instagram.com/nicolas_ramos_b/</t>
  </si>
  <si>
    <t>https://www.tiktok.com/@nicolas_ramos_b</t>
  </si>
  <si>
    <t>https://www.instagram.com/jorgeandresgechem/?hl=es</t>
  </si>
  <si>
    <t>https://www.facebook.com/JorgeAndresGA</t>
  </si>
  <si>
    <t>https://www.instagram.com/marthaalzateh/</t>
  </si>
  <si>
    <t>https://www.tiktok.com/@marthaalzateh</t>
  </si>
  <si>
    <t>https://x.com/MarthaAlzate_</t>
  </si>
  <si>
    <t>https://www.facebook.com/marthaisabel.alzatehincapie.5/</t>
  </si>
  <si>
    <t>https://www.facebook.com/WilkerEsneiderBautista</t>
  </si>
  <si>
    <t>https://x.com/WilkerBautista</t>
  </si>
  <si>
    <t>https://www.tiktok.com/@wilkerbautista</t>
  </si>
  <si>
    <t>https://www.instagram.com/wilker_bautista/</t>
  </si>
  <si>
    <t>https://www.instagram.com/jhair_manrique/</t>
  </si>
  <si>
    <t>https://www.instagram.com/aldemar_alfaro/</t>
  </si>
  <si>
    <t>https://x.com/JhairManrique</t>
  </si>
  <si>
    <t>https://www.tiktok.com/@jhair.manrique</t>
  </si>
  <si>
    <t>https://www.facebook.com/jhair.manrique/</t>
  </si>
  <si>
    <t>https://x.com/PauAguinaga</t>
  </si>
  <si>
    <t>https://www.tiktok.com/@pauaguinaga</t>
  </si>
  <si>
    <t>https://www.facebook.com/PaulinaAguinagaL/</t>
  </si>
  <si>
    <t>https://www.instagram.com/emersonmenesesg/</t>
  </si>
  <si>
    <t>https://x.com/emersonmenesesg</t>
  </si>
  <si>
    <t>https://www.tiktok.com/@emersonmenesesg?lang=es-419</t>
  </si>
  <si>
    <t>https://www.facebook.com/emersonmenesesgonzalez/</t>
  </si>
  <si>
    <t>https://www.tiktok.com/@yilbersaavedra.oficial</t>
  </si>
  <si>
    <t>https://www.facebook.com/Yilber.Saavedra.Neiva/</t>
  </si>
  <si>
    <t>https://www.facebook.com/aldemaralfarooficial/?locale=es_LA</t>
  </si>
  <si>
    <t>https://www.instagram.com/aminlosada_oficial/</t>
  </si>
  <si>
    <t>https://x.com/LosadaAmin</t>
  </si>
  <si>
    <t>https://www.tiktok.com/@aminlosadaperdomo</t>
  </si>
  <si>
    <t>https://www.facebook.com/aminlosadaparaservirle/?locale=es_LA</t>
  </si>
  <si>
    <t>https://www.instagram.com/sergiomaldonado_h/</t>
  </si>
  <si>
    <t>https://x.com/sergiomaldoh</t>
  </si>
  <si>
    <t>https://www.tiktok.com/@sergiomaldonadoh</t>
  </si>
  <si>
    <t>https://www.facebook.com/SergioMaldonadoH/</t>
  </si>
  <si>
    <t>https://www.instagram.com/tobonsanin</t>
  </si>
  <si>
    <t>https://x.com/tobonsanin</t>
  </si>
  <si>
    <t>https://www.tiktok.com/@profegtobonsanin</t>
  </si>
  <si>
    <t>https://www.facebook.com/tobonsanin</t>
  </si>
  <si>
    <t>https://www.facebook.com/stefanygomezarmenia</t>
  </si>
  <si>
    <t>https://www.instagram.com/stefanygomezarmenia/</t>
  </si>
  <si>
    <t>https://x.com/StefanyGomezArm/with_replies</t>
  </si>
  <si>
    <t>https://www.tiktok.com/@stefanygomezarmenia</t>
  </si>
  <si>
    <t>https://www.instagram.com/vicenteaojeda/</t>
  </si>
  <si>
    <t>https://x.com/vicenteaojeda</t>
  </si>
  <si>
    <t>https://www.tiktok.com/@vicenteaojeda</t>
  </si>
  <si>
    <t>https://www.facebook.com/vaojeda/?locale=es_LA</t>
  </si>
  <si>
    <t>https://www.facebook.com/feliperestrepot</t>
  </si>
  <si>
    <t>https://www.instagram.com/deninsonmendoza</t>
  </si>
  <si>
    <t>https://x.com/deninsonmendoza?s=21</t>
  </si>
  <si>
    <t>https://www.facebook.com/deninsonmendoza</t>
  </si>
  <si>
    <t>https://www.tiktok.com/@deninsonmendoza</t>
  </si>
  <si>
    <t>https://www.instagram.com/jose.barreto.castillo</t>
  </si>
  <si>
    <t>https://x.com/JoseBarretoIbag</t>
  </si>
  <si>
    <t>https://www.tiktok.com/@josebarretoc</t>
  </si>
  <si>
    <t>https://www.facebook.com/jose.barreto.ibague/</t>
  </si>
  <si>
    <t>https://www.instagram.com/linadearmas</t>
  </si>
  <si>
    <t>https://x.com/linadearmas</t>
  </si>
  <si>
    <t>https://www.tiktok.com/@linadearmas10</t>
  </si>
  <si>
    <t>https://www.facebook.com/linamardearmas/?locale=es_LA</t>
  </si>
  <si>
    <t>https://www.facebook.com/wilsongonzalezpiedecuesta/</t>
  </si>
  <si>
    <t>https://www.instagram.com/wilsongonzalezv_/</t>
  </si>
  <si>
    <t>https://www.tiktok.com/@wilsongonzalezv_</t>
  </si>
  <si>
    <t>https://x.com/wilsongonzale_</t>
  </si>
  <si>
    <t>https://www.instagram.com/rodolfo.correav/</t>
  </si>
  <si>
    <t>https://x.com/RodolfoCorreaV</t>
  </si>
  <si>
    <t>https://www.tiktok.com/@rodolfocorreav</t>
  </si>
  <si>
    <t>https://www.facebook.com/RodolfoCorreaV7/</t>
  </si>
  <si>
    <t>https://www.instagram.com/medico.jaimecalderon/</t>
  </si>
  <si>
    <t>https://www.facebook.com/jaime.calderon.319247/</t>
  </si>
  <si>
    <t>https://x.com/jaimecalde50</t>
  </si>
  <si>
    <t>https://www.tiktok.com/@medicojaimecalderon</t>
  </si>
  <si>
    <t>https://www.instagram.com/luisrobertoordonez/</t>
  </si>
  <si>
    <t>https://www.facebook.com/luisordonez123456</t>
  </si>
  <si>
    <t>Ausencia</t>
  </si>
  <si>
    <t>https://www.consejodeestado.gov.co/news/2024/15.4-Mar-2024.php</t>
  </si>
  <si>
    <t>Ausencia_url</t>
  </si>
  <si>
    <t>Acusado de doble militancia</t>
  </si>
  <si>
    <t>https://www.instagram.com/rafael_quintero05/</t>
  </si>
  <si>
    <t>https://www.facebook.com/rafaelquinteromora/</t>
  </si>
  <si>
    <t>https://x.com/Raquim55</t>
  </si>
  <si>
    <t>https://www.tiktok.com/@rafaelquinterom</t>
  </si>
  <si>
    <t>https://www.instagram.com/padrehuerfano/</t>
  </si>
  <si>
    <t>https://www.tiktok.com/@padrehuerfano1</t>
  </si>
  <si>
    <t>https://x.com/padrehuerfano</t>
  </si>
  <si>
    <t>https://www.facebook.com/plaza84/?ref=NONE_xav_ig_profile_page_web#</t>
  </si>
  <si>
    <t>Candidatos</t>
  </si>
  <si>
    <t>USD</t>
  </si>
  <si>
    <t>Tiempo (min)</t>
  </si>
  <si>
    <t>Tiempo(hrs)</t>
  </si>
  <si>
    <t>https://web.facebook.com/AlexBaqueroSa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</si>
</sst>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1155CC"/>
      <name val="Arial"/>
      <family val="2"/>
    </font>
    <font>
      <i/>
      <sz val="9"/>
      <color rgb="FF666666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3" fontId="3" fillId="6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6" fillId="3" borderId="1" xfId="1" applyFill="1" applyBorder="1" applyAlignment="1">
      <alignment horizontal="left" wrapText="1"/>
    </xf>
    <xf numFmtId="0" fontId="6" fillId="0" borderId="1" xfId="1" applyBorder="1" applyAlignment="1">
      <alignment horizontal="left" wrapText="1"/>
    </xf>
    <xf numFmtId="0" fontId="6" fillId="4" borderId="1" xfId="1" applyFill="1" applyBorder="1" applyAlignment="1">
      <alignment horizontal="left" wrapText="1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6" fillId="4" borderId="1" xfId="1" applyFill="1" applyBorder="1" applyAlignment="1">
      <alignment horizontal="left"/>
    </xf>
    <xf numFmtId="0" fontId="6" fillId="0" borderId="1" xfId="1" applyBorder="1" applyAlignment="1">
      <alignment wrapText="1"/>
    </xf>
    <xf numFmtId="0" fontId="6" fillId="3" borderId="1" xfId="1" applyFill="1" applyBorder="1" applyAlignment="1">
      <alignment horizontal="left"/>
    </xf>
    <xf numFmtId="2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4" borderId="1" xfId="0" applyFont="1" applyFill="1" applyBorder="1" applyAlignment="1">
      <alignment horizontal="center"/>
    </xf>
    <xf numFmtId="0" fontId="5" fillId="0" borderId="0" xfId="0" applyFont="1"/>
    <xf numFmtId="0" fontId="0" fillId="0" borderId="0" xfId="0"/>
    <xf numFmtId="0" fontId="2" fillId="0" borderId="0" xfId="0" applyFont="1" applyBorder="1" applyAlignment="1">
      <alignment horizontal="left" wrapText="1"/>
    </xf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josefernandosanchezc" TargetMode="External"/><Relationship Id="rId299" Type="http://schemas.openxmlformats.org/officeDocument/2006/relationships/hyperlink" Target="https://x.com/marcoemiliohr" TargetMode="External"/><Relationship Id="rId21" Type="http://schemas.openxmlformats.org/officeDocument/2006/relationships/hyperlink" Target="https://www.tiktok.com/@juancaupeguiv" TargetMode="External"/><Relationship Id="rId63" Type="http://schemas.openxmlformats.org/officeDocument/2006/relationships/hyperlink" Target="https://www.tiktok.com/@jonathanvasquezgomez" TargetMode="External"/><Relationship Id="rId159" Type="http://schemas.openxmlformats.org/officeDocument/2006/relationships/hyperlink" Target="https://www.facebook.com/CarlosParraBUC" TargetMode="External"/><Relationship Id="rId324" Type="http://schemas.openxmlformats.org/officeDocument/2006/relationships/hyperlink" Target="https://www.facebook.com/OsorioBotelloAlcalde" TargetMode="External"/><Relationship Id="rId366" Type="http://schemas.openxmlformats.org/officeDocument/2006/relationships/hyperlink" Target="https://www.tiktok.com/@wilkerbautista" TargetMode="External"/><Relationship Id="rId170" Type="http://schemas.openxmlformats.org/officeDocument/2006/relationships/hyperlink" Target="https://www.instagram.com/juancarlosmunoz_acp/?hl=es-la" TargetMode="External"/><Relationship Id="rId226" Type="http://schemas.openxmlformats.org/officeDocument/2006/relationships/hyperlink" Target="https://www.tiktok.com/@hectorrangelp" TargetMode="External"/><Relationship Id="rId433" Type="http://schemas.openxmlformats.org/officeDocument/2006/relationships/hyperlink" Target="https://www.instagram.com/rafael_quintero05/" TargetMode="External"/><Relationship Id="rId268" Type="http://schemas.openxmlformats.org/officeDocument/2006/relationships/hyperlink" Target="https://www.instagram.com/horaciojserpa/" TargetMode="External"/><Relationship Id="rId32" Type="http://schemas.openxmlformats.org/officeDocument/2006/relationships/hyperlink" Target="https://www.tiktok.com/@danis_renteria" TargetMode="External"/><Relationship Id="rId74" Type="http://schemas.openxmlformats.org/officeDocument/2006/relationships/hyperlink" Target="https://www.instagram.com/jorgebolivaribague/" TargetMode="External"/><Relationship Id="rId128" Type="http://schemas.openxmlformats.org/officeDocument/2006/relationships/hyperlink" Target="https://x.com/JORGE_BOLIVAR" TargetMode="External"/><Relationship Id="rId335" Type="http://schemas.openxmlformats.org/officeDocument/2006/relationships/hyperlink" Target="https://www.tiktok.com/@claudiaandradegonzalez" TargetMode="External"/><Relationship Id="rId377" Type="http://schemas.openxmlformats.org/officeDocument/2006/relationships/hyperlink" Target="https://x.com/emersonmenesesg" TargetMode="External"/><Relationship Id="rId5" Type="http://schemas.openxmlformats.org/officeDocument/2006/relationships/hyperlink" Target="https://www.instagram.com/carlosfernandogalan/" TargetMode="External"/><Relationship Id="rId181" Type="http://schemas.openxmlformats.org/officeDocument/2006/relationships/hyperlink" Target="https://www.instagram.com/jamespadillag/" TargetMode="External"/><Relationship Id="rId237" Type="http://schemas.openxmlformats.org/officeDocument/2006/relationships/hyperlink" Target="https://www.instagram.com/proferuso_alcalde/" TargetMode="External"/><Relationship Id="rId402" Type="http://schemas.openxmlformats.org/officeDocument/2006/relationships/hyperlink" Target="https://x.com/vicenteaojeda" TargetMode="External"/><Relationship Id="rId279" Type="http://schemas.openxmlformats.org/officeDocument/2006/relationships/hyperlink" Target="https://www.facebook.com/ConsueloBerraca" TargetMode="External"/><Relationship Id="rId43" Type="http://schemas.openxmlformats.org/officeDocument/2006/relationships/hyperlink" Target="https://www.instagram.com/alcirasandovali/" TargetMode="External"/><Relationship Id="rId139" Type="http://schemas.openxmlformats.org/officeDocument/2006/relationships/hyperlink" Target="https://x.com/DiegoTItagui" TargetMode="External"/><Relationship Id="rId290" Type="http://schemas.openxmlformats.org/officeDocument/2006/relationships/hyperlink" Target="https://www.facebook.com/CamiloQuirozHinojosa/" TargetMode="External"/><Relationship Id="rId304" Type="http://schemas.openxmlformats.org/officeDocument/2006/relationships/hyperlink" Target="https://www.facebook.com/eribertoibarrac/" TargetMode="External"/><Relationship Id="rId346" Type="http://schemas.openxmlformats.org/officeDocument/2006/relationships/hyperlink" Target="https://www.tiktok.com/@elmarioromero" TargetMode="External"/><Relationship Id="rId388" Type="http://schemas.openxmlformats.org/officeDocument/2006/relationships/hyperlink" Target="https://www.facebook.com/aminlosadaparaservirle/?locale=es_LA" TargetMode="External"/><Relationship Id="rId85" Type="http://schemas.openxmlformats.org/officeDocument/2006/relationships/hyperlink" Target="https://x.com/Lore_GonzalezOs" TargetMode="External"/><Relationship Id="rId150" Type="http://schemas.openxmlformats.org/officeDocument/2006/relationships/hyperlink" Target="https://www.facebook.com/LigiadelCarmenCordoba/" TargetMode="External"/><Relationship Id="rId192" Type="http://schemas.openxmlformats.org/officeDocument/2006/relationships/hyperlink" Target="https://www.facebook.com/jorge.robledo.castillo" TargetMode="External"/><Relationship Id="rId206" Type="http://schemas.openxmlformats.org/officeDocument/2006/relationships/hyperlink" Target="https://x.com/sergioflechas" TargetMode="External"/><Relationship Id="rId413" Type="http://schemas.openxmlformats.org/officeDocument/2006/relationships/hyperlink" Target="https://www.facebook.com/jose.barreto.ibague/" TargetMode="External"/><Relationship Id="rId248" Type="http://schemas.openxmlformats.org/officeDocument/2006/relationships/hyperlink" Target="https://www.facebook.com/elviragutierrezsoledad/?locale=es_LA" TargetMode="External"/><Relationship Id="rId12" Type="http://schemas.openxmlformats.org/officeDocument/2006/relationships/hyperlink" Target="https://www.facebook.com/alejoederg" TargetMode="External"/><Relationship Id="rId108" Type="http://schemas.openxmlformats.org/officeDocument/2006/relationships/hyperlink" Target="https://www.instagram.com/javierjuliob/" TargetMode="External"/><Relationship Id="rId315" Type="http://schemas.openxmlformats.org/officeDocument/2006/relationships/hyperlink" Target="https://www.instagram.com/hassanfares1970/" TargetMode="External"/><Relationship Id="rId357" Type="http://schemas.openxmlformats.org/officeDocument/2006/relationships/hyperlink" Target="https://www.tiktok.com/@nicolas_ramos_b" TargetMode="External"/><Relationship Id="rId54" Type="http://schemas.openxmlformats.org/officeDocument/2006/relationships/hyperlink" Target="https://www.instagram.com/yahiracuna_/" TargetMode="External"/><Relationship Id="rId96" Type="http://schemas.openxmlformats.org/officeDocument/2006/relationships/hyperlink" Target="https://www.instagram.com/julianpericojr/" TargetMode="External"/><Relationship Id="rId161" Type="http://schemas.openxmlformats.org/officeDocument/2006/relationships/hyperlink" Target="https://www.facebook.com/DiegoMercadoSanabria/" TargetMode="External"/><Relationship Id="rId217" Type="http://schemas.openxmlformats.org/officeDocument/2006/relationships/hyperlink" Target="https://www.instagram.com/dianafuentesmeneses" TargetMode="External"/><Relationship Id="rId399" Type="http://schemas.openxmlformats.org/officeDocument/2006/relationships/hyperlink" Target="https://x.com/StefanyGomezArm/with_replies" TargetMode="External"/><Relationship Id="rId259" Type="http://schemas.openxmlformats.org/officeDocument/2006/relationships/hyperlink" Target="https://www.facebook.com/Robertojimenezdosquebradas" TargetMode="External"/><Relationship Id="rId424" Type="http://schemas.openxmlformats.org/officeDocument/2006/relationships/hyperlink" Target="https://www.tiktok.com/@rodolfocorreav" TargetMode="External"/><Relationship Id="rId23" Type="http://schemas.openxmlformats.org/officeDocument/2006/relationships/hyperlink" Target="https://www.facebook.com/soyjaimeandres" TargetMode="External"/><Relationship Id="rId119" Type="http://schemas.openxmlformats.org/officeDocument/2006/relationships/hyperlink" Target="https://x.com/JoseFsanchezc" TargetMode="External"/><Relationship Id="rId270" Type="http://schemas.openxmlformats.org/officeDocument/2006/relationships/hyperlink" Target="https://x.com/horaciojserpa" TargetMode="External"/><Relationship Id="rId326" Type="http://schemas.openxmlformats.org/officeDocument/2006/relationships/hyperlink" Target="https://www.instagram.com/john.carrerov/" TargetMode="External"/><Relationship Id="rId65" Type="http://schemas.openxmlformats.org/officeDocument/2006/relationships/hyperlink" Target="https://www.instagram.com/jonathanvasquezgomez/" TargetMode="External"/><Relationship Id="rId130" Type="http://schemas.openxmlformats.org/officeDocument/2006/relationships/hyperlink" Target="https://www.instagram.com/antoniobohorquez_/" TargetMode="External"/><Relationship Id="rId368" Type="http://schemas.openxmlformats.org/officeDocument/2006/relationships/hyperlink" Target="https://www.instagram.com/jhair_manrique/" TargetMode="External"/><Relationship Id="rId172" Type="http://schemas.openxmlformats.org/officeDocument/2006/relationships/hyperlink" Target="https://www.tiktok.com/@juancarlosmunoz_acp" TargetMode="External"/><Relationship Id="rId228" Type="http://schemas.openxmlformats.org/officeDocument/2006/relationships/hyperlink" Target="https://www.facebook.com/elkindavidbueno/?locale=es_LA" TargetMode="External"/><Relationship Id="rId435" Type="http://schemas.openxmlformats.org/officeDocument/2006/relationships/hyperlink" Target="https://x.com/Raquim55" TargetMode="External"/><Relationship Id="rId281" Type="http://schemas.openxmlformats.org/officeDocument/2006/relationships/hyperlink" Target="https://x.com/pautorosantana" TargetMode="External"/><Relationship Id="rId337" Type="http://schemas.openxmlformats.org/officeDocument/2006/relationships/hyperlink" Target="https://www.instagram.com/fernandomurilloorrego/" TargetMode="External"/><Relationship Id="rId34" Type="http://schemas.openxmlformats.org/officeDocument/2006/relationships/hyperlink" Target="https://www.instagram.com/danisrenteria" TargetMode="External"/><Relationship Id="rId76" Type="http://schemas.openxmlformats.org/officeDocument/2006/relationships/hyperlink" Target="https://www.instagram.com/rodrigolararestrepo/" TargetMode="External"/><Relationship Id="rId141" Type="http://schemas.openxmlformats.org/officeDocument/2006/relationships/hyperlink" Target="https://www.facebook.com/diegoTItagui/" TargetMode="External"/><Relationship Id="rId379" Type="http://schemas.openxmlformats.org/officeDocument/2006/relationships/hyperlink" Target="https://www.facebook.com/emersonmenesesgonzalez/" TargetMode="External"/><Relationship Id="rId7" Type="http://schemas.openxmlformats.org/officeDocument/2006/relationships/hyperlink" Target="https://www.tiktok.com/@carlosfgalan" TargetMode="External"/><Relationship Id="rId183" Type="http://schemas.openxmlformats.org/officeDocument/2006/relationships/hyperlink" Target="https://x.com/jamespadillag" TargetMode="External"/><Relationship Id="rId239" Type="http://schemas.openxmlformats.org/officeDocument/2006/relationships/hyperlink" Target="https://www.facebook.com/albertyordanocorredor/?locale=es_LA" TargetMode="External"/><Relationship Id="rId390" Type="http://schemas.openxmlformats.org/officeDocument/2006/relationships/hyperlink" Target="https://x.com/sergiomaldoh" TargetMode="External"/><Relationship Id="rId404" Type="http://schemas.openxmlformats.org/officeDocument/2006/relationships/hyperlink" Target="https://www.facebook.com/vaojeda/?locale=es_LA" TargetMode="External"/><Relationship Id="rId250" Type="http://schemas.openxmlformats.org/officeDocument/2006/relationships/hyperlink" Target="https://x.com/elviragh_" TargetMode="External"/><Relationship Id="rId292" Type="http://schemas.openxmlformats.org/officeDocument/2006/relationships/hyperlink" Target="https://x.com/betoibarra2020" TargetMode="External"/><Relationship Id="rId306" Type="http://schemas.openxmlformats.org/officeDocument/2006/relationships/hyperlink" Target="https://www.instagram.com/heinergaitan_/" TargetMode="External"/><Relationship Id="rId45" Type="http://schemas.openxmlformats.org/officeDocument/2006/relationships/hyperlink" Target="https://x.com/alcirasandovali" TargetMode="External"/><Relationship Id="rId87" Type="http://schemas.openxmlformats.org/officeDocument/2006/relationships/hyperlink" Target="https://www.instagram.com/lore_gonzalezospina/" TargetMode="External"/><Relationship Id="rId110" Type="http://schemas.openxmlformats.org/officeDocument/2006/relationships/hyperlink" Target="https://www.tiktok.com/@javierjuliob" TargetMode="External"/><Relationship Id="rId348" Type="http://schemas.openxmlformats.org/officeDocument/2006/relationships/hyperlink" Target="https://x.com/NilsaVillotaR" TargetMode="External"/><Relationship Id="rId152" Type="http://schemas.openxmlformats.org/officeDocument/2006/relationships/hyperlink" Target="https://www.tiktok.com/@ligia_del_carmen1" TargetMode="External"/><Relationship Id="rId194" Type="http://schemas.openxmlformats.org/officeDocument/2006/relationships/hyperlink" Target="https://x.com/FabianOviedoP" TargetMode="External"/><Relationship Id="rId208" Type="http://schemas.openxmlformats.org/officeDocument/2006/relationships/hyperlink" Target="https://www.facebook.com/SergioFlechas10/" TargetMode="External"/><Relationship Id="rId415" Type="http://schemas.openxmlformats.org/officeDocument/2006/relationships/hyperlink" Target="https://x.com/linadearmas" TargetMode="External"/><Relationship Id="rId261" Type="http://schemas.openxmlformats.org/officeDocument/2006/relationships/hyperlink" Target="https://www.tiktok.com/@jorge_navas" TargetMode="External"/><Relationship Id="rId14" Type="http://schemas.openxmlformats.org/officeDocument/2006/relationships/hyperlink" Target="https://x.com/dumek_turbay" TargetMode="External"/><Relationship Id="rId56" Type="http://schemas.openxmlformats.org/officeDocument/2006/relationships/hyperlink" Target="https://www.instagram.com/johanaaranda_" TargetMode="External"/><Relationship Id="rId317" Type="http://schemas.openxmlformats.org/officeDocument/2006/relationships/hyperlink" Target="https://x.com/renzogarciap" TargetMode="External"/><Relationship Id="rId359" Type="http://schemas.openxmlformats.org/officeDocument/2006/relationships/hyperlink" Target="https://www.facebook.com/JorgeAndresGA" TargetMode="External"/><Relationship Id="rId98" Type="http://schemas.openxmlformats.org/officeDocument/2006/relationships/hyperlink" Target="https://www.facebook.com/JulianPericoJr/?locale=es_LA" TargetMode="External"/><Relationship Id="rId121" Type="http://schemas.openxmlformats.org/officeDocument/2006/relationships/hyperlink" Target="https://x.com/herrerajoao1" TargetMode="External"/><Relationship Id="rId163" Type="http://schemas.openxmlformats.org/officeDocument/2006/relationships/hyperlink" Target="https://x.com/MariamulataCTG" TargetMode="External"/><Relationship Id="rId219" Type="http://schemas.openxmlformats.org/officeDocument/2006/relationships/hyperlink" Target="https://www.facebook.com/dianafuentesmeneses1/" TargetMode="External"/><Relationship Id="rId370" Type="http://schemas.openxmlformats.org/officeDocument/2006/relationships/hyperlink" Target="https://www.tiktok.com/@jhair.manrique" TargetMode="External"/><Relationship Id="rId426" Type="http://schemas.openxmlformats.org/officeDocument/2006/relationships/hyperlink" Target="https://www.instagram.com/medico.jaimecalderon/" TargetMode="External"/><Relationship Id="rId230" Type="http://schemas.openxmlformats.org/officeDocument/2006/relationships/hyperlink" Target="https://x.com/elkindavidbueno/with_replies" TargetMode="External"/><Relationship Id="rId25" Type="http://schemas.openxmlformats.org/officeDocument/2006/relationships/hyperlink" Target="https://www.tiktok.com/@jorgeacevedooficial" TargetMode="External"/><Relationship Id="rId67" Type="http://schemas.openxmlformats.org/officeDocument/2006/relationships/hyperlink" Target="https://www.tiktok.com/@ernestoorozcod" TargetMode="External"/><Relationship Id="rId272" Type="http://schemas.openxmlformats.org/officeDocument/2006/relationships/hyperlink" Target="https://www.instagram.com/tatianalopezsaldarriaga/" TargetMode="External"/><Relationship Id="rId328" Type="http://schemas.openxmlformats.org/officeDocument/2006/relationships/hyperlink" Target="https://www.instagram.com/curaordonezsm/reels/" TargetMode="External"/><Relationship Id="rId132" Type="http://schemas.openxmlformats.org/officeDocument/2006/relationships/hyperlink" Target="https://www.tiktok.com/@antonio_bohorquez" TargetMode="External"/><Relationship Id="rId174" Type="http://schemas.openxmlformats.org/officeDocument/2006/relationships/hyperlink" Target="https://www.instagram.com/joseluisdiagof" TargetMode="External"/><Relationship Id="rId381" Type="http://schemas.openxmlformats.org/officeDocument/2006/relationships/hyperlink" Target="https://www.tiktok.com/@yilbersaavedra.oficial" TargetMode="External"/><Relationship Id="rId241" Type="http://schemas.openxmlformats.org/officeDocument/2006/relationships/hyperlink" Target="https://www.tiktok.com/@albertcorredor_" TargetMode="External"/><Relationship Id="rId437" Type="http://schemas.openxmlformats.org/officeDocument/2006/relationships/hyperlink" Target="https://www.instagram.com/padrehuerfano/" TargetMode="External"/><Relationship Id="rId36" Type="http://schemas.openxmlformats.org/officeDocument/2006/relationships/hyperlink" Target="https://x.com/JorgeAgudeloA" TargetMode="External"/><Relationship Id="rId283" Type="http://schemas.openxmlformats.org/officeDocument/2006/relationships/hyperlink" Target="https://www.facebook.com/pautorosantana" TargetMode="External"/><Relationship Id="rId339" Type="http://schemas.openxmlformats.org/officeDocument/2006/relationships/hyperlink" Target="https://www.tiktok.com/@fernandomurilloor71" TargetMode="External"/><Relationship Id="rId78" Type="http://schemas.openxmlformats.org/officeDocument/2006/relationships/hyperlink" Target="https://x.com/Rodrigo_Lara_" TargetMode="External"/><Relationship Id="rId101" Type="http://schemas.openxmlformats.org/officeDocument/2006/relationships/hyperlink" Target="https://www.facebook.com/victorramospal/?locale=es_LA" TargetMode="External"/><Relationship Id="rId143" Type="http://schemas.openxmlformats.org/officeDocument/2006/relationships/hyperlink" Target="https://x.com/Marioenriquez83" TargetMode="External"/><Relationship Id="rId185" Type="http://schemas.openxmlformats.org/officeDocument/2006/relationships/hyperlink" Target="https://www.instagram.com/miyerlandit/" TargetMode="External"/><Relationship Id="rId350" Type="http://schemas.openxmlformats.org/officeDocument/2006/relationships/hyperlink" Target="https://www.facebook.com/NilsaVillotaR/" TargetMode="External"/><Relationship Id="rId406" Type="http://schemas.openxmlformats.org/officeDocument/2006/relationships/hyperlink" Target="https://www.instagram.com/deninsonmendoza" TargetMode="External"/><Relationship Id="rId9" Type="http://schemas.openxmlformats.org/officeDocument/2006/relationships/hyperlink" Target="https://www.instagram.com/alejoeder/" TargetMode="External"/><Relationship Id="rId210" Type="http://schemas.openxmlformats.org/officeDocument/2006/relationships/hyperlink" Target="https://x.com/Steven_Cardenas" TargetMode="External"/><Relationship Id="rId392" Type="http://schemas.openxmlformats.org/officeDocument/2006/relationships/hyperlink" Target="https://www.facebook.com/SergioMaldonadoH/" TargetMode="External"/><Relationship Id="rId252" Type="http://schemas.openxmlformats.org/officeDocument/2006/relationships/hyperlink" Target="https://www.instagram.com/cristianjosemoreno/" TargetMode="External"/><Relationship Id="rId294" Type="http://schemas.openxmlformats.org/officeDocument/2006/relationships/hyperlink" Target="https://www.instagram.com/oscarmauriciotoro/" TargetMode="External"/><Relationship Id="rId308" Type="http://schemas.openxmlformats.org/officeDocument/2006/relationships/hyperlink" Target="https://www.tiktok.com/@heinergaitan_" TargetMode="External"/><Relationship Id="rId47" Type="http://schemas.openxmlformats.org/officeDocument/2006/relationships/hyperlink" Target="https://x.com/MSalazar2014" TargetMode="External"/><Relationship Id="rId89" Type="http://schemas.openxmlformats.org/officeDocument/2006/relationships/hyperlink" Target="https://www.facebook.com/maicolopera" TargetMode="External"/><Relationship Id="rId112" Type="http://schemas.openxmlformats.org/officeDocument/2006/relationships/hyperlink" Target="https://www.instagram.com/nestor.restrepob/" TargetMode="External"/><Relationship Id="rId154" Type="http://schemas.openxmlformats.org/officeDocument/2006/relationships/hyperlink" Target="https://www.facebook.com/IrinaSalasL/" TargetMode="External"/><Relationship Id="rId361" Type="http://schemas.openxmlformats.org/officeDocument/2006/relationships/hyperlink" Target="https://www.tiktok.com/@marthaalzateh" TargetMode="External"/><Relationship Id="rId196" Type="http://schemas.openxmlformats.org/officeDocument/2006/relationships/hyperlink" Target="https://www.tiktok.com/@fabian_oviedop" TargetMode="External"/><Relationship Id="rId417" Type="http://schemas.openxmlformats.org/officeDocument/2006/relationships/hyperlink" Target="https://www.facebook.com/linamardearmas/?locale=es_LA" TargetMode="External"/><Relationship Id="rId16" Type="http://schemas.openxmlformats.org/officeDocument/2006/relationships/hyperlink" Target="https://www.instagram.com/ficogutierrez/" TargetMode="External"/><Relationship Id="rId221" Type="http://schemas.openxmlformats.org/officeDocument/2006/relationships/hyperlink" Target="https://x.com/GenaroRedondoC" TargetMode="External"/><Relationship Id="rId263" Type="http://schemas.openxmlformats.org/officeDocument/2006/relationships/hyperlink" Target="https://www.instagram.com/jorgenavasgranados/" TargetMode="External"/><Relationship Id="rId319" Type="http://schemas.openxmlformats.org/officeDocument/2006/relationships/hyperlink" Target="https://www.tiktok.com/@renzo.garcia1" TargetMode="External"/><Relationship Id="rId58" Type="http://schemas.openxmlformats.org/officeDocument/2006/relationships/hyperlink" Target="https://www.tiktok.com/@johanaaranda_" TargetMode="External"/><Relationship Id="rId123" Type="http://schemas.openxmlformats.org/officeDocument/2006/relationships/hyperlink" Target="https://www.facebook.com/herrerajoao1" TargetMode="External"/><Relationship Id="rId330" Type="http://schemas.openxmlformats.org/officeDocument/2006/relationships/hyperlink" Target="https://x.com/mariofigueroaf" TargetMode="External"/><Relationship Id="rId165" Type="http://schemas.openxmlformats.org/officeDocument/2006/relationships/hyperlink" Target="https://www.facebook.com/p/Judith-Pinedo-100079535374119/" TargetMode="External"/><Relationship Id="rId372" Type="http://schemas.openxmlformats.org/officeDocument/2006/relationships/hyperlink" Target="https://www.instagram.com/paulinaaguinaga/" TargetMode="External"/><Relationship Id="rId428" Type="http://schemas.openxmlformats.org/officeDocument/2006/relationships/hyperlink" Target="https://x.com/jaimecalde50" TargetMode="External"/><Relationship Id="rId232" Type="http://schemas.openxmlformats.org/officeDocument/2006/relationships/hyperlink" Target="https://www.instagram.com/jhonyvelezquintero/" TargetMode="External"/><Relationship Id="rId274" Type="http://schemas.openxmlformats.org/officeDocument/2006/relationships/hyperlink" Target="https://x.com/TatianaLopSal" TargetMode="External"/><Relationship Id="rId27" Type="http://schemas.openxmlformats.org/officeDocument/2006/relationships/hyperlink" Target="https://www.tiktok.com/@nlopezfuentes" TargetMode="External"/><Relationship Id="rId69" Type="http://schemas.openxmlformats.org/officeDocument/2006/relationships/hyperlink" Target="https://x.com/ErnestoOrozcoD" TargetMode="External"/><Relationship Id="rId134" Type="http://schemas.openxmlformats.org/officeDocument/2006/relationships/hyperlink" Target="https://www.tiktok.com/@raulcardona_envigado" TargetMode="External"/><Relationship Id="rId80" Type="http://schemas.openxmlformats.org/officeDocument/2006/relationships/hyperlink" Target="https://www.instagram.com/diegomolanoaponte/" TargetMode="External"/><Relationship Id="rId176" Type="http://schemas.openxmlformats.org/officeDocument/2006/relationships/hyperlink" Target="https://www.tiktok.com/@joseluisdiagof" TargetMode="External"/><Relationship Id="rId341" Type="http://schemas.openxmlformats.org/officeDocument/2006/relationships/hyperlink" Target="https://www.instagram.com/sergiomolinape/" TargetMode="External"/><Relationship Id="rId383" Type="http://schemas.openxmlformats.org/officeDocument/2006/relationships/hyperlink" Target="https://www.instagram.com/aldemar_alfaro/" TargetMode="External"/><Relationship Id="rId439" Type="http://schemas.openxmlformats.org/officeDocument/2006/relationships/hyperlink" Target="https://x.com/padrehuerfano" TargetMode="External"/><Relationship Id="rId201" Type="http://schemas.openxmlformats.org/officeDocument/2006/relationships/hyperlink" Target="https://www.instagram.com/rosaacevedoj/" TargetMode="External"/><Relationship Id="rId243" Type="http://schemas.openxmlformats.org/officeDocument/2006/relationships/hyperlink" Target="https://x.com/josedurancamara" TargetMode="External"/><Relationship Id="rId285" Type="http://schemas.openxmlformats.org/officeDocument/2006/relationships/hyperlink" Target="https://x.com/AdolfoRomeroB" TargetMode="External"/><Relationship Id="rId38" Type="http://schemas.openxmlformats.org/officeDocument/2006/relationships/hyperlink" Target="https://www.instagram.com/jorgeagudeloapreza/" TargetMode="External"/><Relationship Id="rId103" Type="http://schemas.openxmlformats.org/officeDocument/2006/relationships/hyperlink" Target="https://www.tiktok.com/@victorramospal" TargetMode="External"/><Relationship Id="rId310" Type="http://schemas.openxmlformats.org/officeDocument/2006/relationships/hyperlink" Target="https://www.instagram.com/miguelmorales_lavoz/" TargetMode="External"/><Relationship Id="rId91" Type="http://schemas.openxmlformats.org/officeDocument/2006/relationships/hyperlink" Target="https://www.tiktok.com/@maicolopera" TargetMode="External"/><Relationship Id="rId145" Type="http://schemas.openxmlformats.org/officeDocument/2006/relationships/hyperlink" Target="https://www.tiktok.com/@Marioenriquezchenas" TargetMode="External"/><Relationship Id="rId187" Type="http://schemas.openxmlformats.org/officeDocument/2006/relationships/hyperlink" Target="https://www.facebook.com/MiyerlandiTorresA/" TargetMode="External"/><Relationship Id="rId352" Type="http://schemas.openxmlformats.org/officeDocument/2006/relationships/hyperlink" Target="https://x.com/BettyZorro" TargetMode="External"/><Relationship Id="rId394" Type="http://schemas.openxmlformats.org/officeDocument/2006/relationships/hyperlink" Target="https://x.com/tobonsanin" TargetMode="External"/><Relationship Id="rId408" Type="http://schemas.openxmlformats.org/officeDocument/2006/relationships/hyperlink" Target="https://www.facebook.com/deninsonmendoza" TargetMode="External"/><Relationship Id="rId212" Type="http://schemas.openxmlformats.org/officeDocument/2006/relationships/hyperlink" Target="https://www.facebook.com/stevencardenasconcejal/?locale=es_LA" TargetMode="External"/><Relationship Id="rId254" Type="http://schemas.openxmlformats.org/officeDocument/2006/relationships/hyperlink" Target="https://www.tiktok.com/@christianjmoreno" TargetMode="External"/><Relationship Id="rId49" Type="http://schemas.openxmlformats.org/officeDocument/2006/relationships/hyperlink" Target="https://www.instagram.com/mauriciosalazarpelaez" TargetMode="External"/><Relationship Id="rId114" Type="http://schemas.openxmlformats.org/officeDocument/2006/relationships/hyperlink" Target="https://www.tiktok.com/@nestor.restrepob" TargetMode="External"/><Relationship Id="rId296" Type="http://schemas.openxmlformats.org/officeDocument/2006/relationships/hyperlink" Target="https://www.tiktok.com/@omaurotoro" TargetMode="External"/><Relationship Id="rId60" Type="http://schemas.openxmlformats.org/officeDocument/2006/relationships/hyperlink" Target="https://www.instagram.com/nicolastoro25/" TargetMode="External"/><Relationship Id="rId81" Type="http://schemas.openxmlformats.org/officeDocument/2006/relationships/hyperlink" Target="https://www.facebook.com/DiegoMolanoAponte" TargetMode="External"/><Relationship Id="rId135" Type="http://schemas.openxmlformats.org/officeDocument/2006/relationships/hyperlink" Target="https://x.com/RaulCardonaENV" TargetMode="External"/><Relationship Id="rId156" Type="http://schemas.openxmlformats.org/officeDocument/2006/relationships/hyperlink" Target="https://www.tiktok.com/@irinacsalas" TargetMode="External"/><Relationship Id="rId177" Type="http://schemas.openxmlformats.org/officeDocument/2006/relationships/hyperlink" Target="https://www.instagram.com/williamgarciatirado_/" TargetMode="External"/><Relationship Id="rId198" Type="http://schemas.openxmlformats.org/officeDocument/2006/relationships/hyperlink" Target="https://x.com/LEONBEDOYA" TargetMode="External"/><Relationship Id="rId321" Type="http://schemas.openxmlformats.org/officeDocument/2006/relationships/hyperlink" Target="https://x.com/LaVallecaucana" TargetMode="External"/><Relationship Id="rId342" Type="http://schemas.openxmlformats.org/officeDocument/2006/relationships/hyperlink" Target="https://www.facebook.com/sergiomolinape/" TargetMode="External"/><Relationship Id="rId363" Type="http://schemas.openxmlformats.org/officeDocument/2006/relationships/hyperlink" Target="https://www.facebook.com/marthaisabel.alzatehincapie.5/" TargetMode="External"/><Relationship Id="rId384" Type="http://schemas.openxmlformats.org/officeDocument/2006/relationships/hyperlink" Target="https://www.facebook.com/aldemaralfarooficial/?locale=es_LA" TargetMode="External"/><Relationship Id="rId419" Type="http://schemas.openxmlformats.org/officeDocument/2006/relationships/hyperlink" Target="https://www.instagram.com/wilsongonzalezv_/" TargetMode="External"/><Relationship Id="rId202" Type="http://schemas.openxmlformats.org/officeDocument/2006/relationships/hyperlink" Target="https://x.com/RosaAcevedoJ" TargetMode="External"/><Relationship Id="rId223" Type="http://schemas.openxmlformats.org/officeDocument/2006/relationships/hyperlink" Target="https://www.facebook.com/GenaroRedondoC/" TargetMode="External"/><Relationship Id="rId244" Type="http://schemas.openxmlformats.org/officeDocument/2006/relationships/hyperlink" Target="https://www.facebook.com/joseduranro/?locale=es_LA" TargetMode="External"/><Relationship Id="rId430" Type="http://schemas.openxmlformats.org/officeDocument/2006/relationships/hyperlink" Target="https://www.instagram.com/luisrobertoordonez/" TargetMode="External"/><Relationship Id="rId18" Type="http://schemas.openxmlformats.org/officeDocument/2006/relationships/hyperlink" Target="https://www.tiktok.com/@ficogutierrez" TargetMode="External"/><Relationship Id="rId39" Type="http://schemas.openxmlformats.org/officeDocument/2006/relationships/hyperlink" Target="https://www.tiktok.com/@carlosapinedocuello" TargetMode="External"/><Relationship Id="rId265" Type="http://schemas.openxmlformats.org/officeDocument/2006/relationships/hyperlink" Target="https://x.com/JoseOsorioG" TargetMode="External"/><Relationship Id="rId286" Type="http://schemas.openxmlformats.org/officeDocument/2006/relationships/hyperlink" Target="https://www.facebook.com/adolforomerob" TargetMode="External"/><Relationship Id="rId50" Type="http://schemas.openxmlformats.org/officeDocument/2006/relationships/hyperlink" Target="https://www.facebook.com/mauriciosalazarpelaez" TargetMode="External"/><Relationship Id="rId104" Type="http://schemas.openxmlformats.org/officeDocument/2006/relationships/hyperlink" Target="https://www.facebook.com/Germancasaguab/videos/" TargetMode="External"/><Relationship Id="rId125" Type="http://schemas.openxmlformats.org/officeDocument/2006/relationships/hyperlink" Target="https://x.com/dannycaiced" TargetMode="External"/><Relationship Id="rId146" Type="http://schemas.openxmlformats.org/officeDocument/2006/relationships/hyperlink" Target="https://x.com/GarciaHerrerosJ" TargetMode="External"/><Relationship Id="rId167" Type="http://schemas.openxmlformats.org/officeDocument/2006/relationships/hyperlink" Target="https://www.facebook.com/hectorfabio.velascohernandez.5/" TargetMode="External"/><Relationship Id="rId188" Type="http://schemas.openxmlformats.org/officeDocument/2006/relationships/hyperlink" Target="https://x.com/MiyerlandiT" TargetMode="External"/><Relationship Id="rId311" Type="http://schemas.openxmlformats.org/officeDocument/2006/relationships/hyperlink" Target="https://www.facebook.com/MiguelMoralesOficial/" TargetMode="External"/><Relationship Id="rId332" Type="http://schemas.openxmlformats.org/officeDocument/2006/relationships/hyperlink" Target="https://www.facebook.com/mario.figueroafernandez.756/" TargetMode="External"/><Relationship Id="rId353" Type="http://schemas.openxmlformats.org/officeDocument/2006/relationships/hyperlink" Target="https://www.tiktok.com/@betty.zorro" TargetMode="External"/><Relationship Id="rId374" Type="http://schemas.openxmlformats.org/officeDocument/2006/relationships/hyperlink" Target="https://www.tiktok.com/@pauaguinaga" TargetMode="External"/><Relationship Id="rId395" Type="http://schemas.openxmlformats.org/officeDocument/2006/relationships/hyperlink" Target="https://www.tiktok.com/@profegtobonsanin" TargetMode="External"/><Relationship Id="rId409" Type="http://schemas.openxmlformats.org/officeDocument/2006/relationships/hyperlink" Target="https://www.tiktok.com/@deninsonmendoza" TargetMode="External"/><Relationship Id="rId71" Type="http://schemas.openxmlformats.org/officeDocument/2006/relationships/hyperlink" Target="https://www.tiktok.com/@alexander.baquero2" TargetMode="External"/><Relationship Id="rId92" Type="http://schemas.openxmlformats.org/officeDocument/2006/relationships/hyperlink" Target="https://www.facebook.com/Juancachavezn/?locale=es_LA" TargetMode="External"/><Relationship Id="rId213" Type="http://schemas.openxmlformats.org/officeDocument/2006/relationships/hyperlink" Target="https://www.instagram.com/general_vargas" TargetMode="External"/><Relationship Id="rId234" Type="http://schemas.openxmlformats.org/officeDocument/2006/relationships/hyperlink" Target="https://x.com/ElRusoAlcalde" TargetMode="External"/><Relationship Id="rId420" Type="http://schemas.openxmlformats.org/officeDocument/2006/relationships/hyperlink" Target="https://www.tiktok.com/@wilsongonzalezv_" TargetMode="External"/><Relationship Id="rId2" Type="http://schemas.openxmlformats.org/officeDocument/2006/relationships/hyperlink" Target="https://x.com/AlejandroChar" TargetMode="External"/><Relationship Id="rId29" Type="http://schemas.openxmlformats.org/officeDocument/2006/relationships/hyperlink" Target="https://www.tiktok.com/@soyleojacome1" TargetMode="External"/><Relationship Id="rId255" Type="http://schemas.openxmlformats.org/officeDocument/2006/relationships/hyperlink" Target="https://www.facebook.com/cristianjosemorenovillamizar/" TargetMode="External"/><Relationship Id="rId276" Type="http://schemas.openxmlformats.org/officeDocument/2006/relationships/hyperlink" Target="https://www.instagram.com/consueloberraca" TargetMode="External"/><Relationship Id="rId297" Type="http://schemas.openxmlformats.org/officeDocument/2006/relationships/hyperlink" Target="https://www.facebook.com/omaurotoro" TargetMode="External"/><Relationship Id="rId40" Type="http://schemas.openxmlformats.org/officeDocument/2006/relationships/hyperlink" Target="https://www.instagram.com/carlospinedocuello/" TargetMode="External"/><Relationship Id="rId115" Type="http://schemas.openxmlformats.org/officeDocument/2006/relationships/hyperlink" Target="https://www.facebook.com/nedarebon/" TargetMode="External"/><Relationship Id="rId136" Type="http://schemas.openxmlformats.org/officeDocument/2006/relationships/hyperlink" Target="https://www.facebook.com/RaulCardonaEnvigado/?locale=es_LA" TargetMode="External"/><Relationship Id="rId157" Type="http://schemas.openxmlformats.org/officeDocument/2006/relationships/hyperlink" Target="https://x.com/CarlosParraBUC" TargetMode="External"/><Relationship Id="rId178" Type="http://schemas.openxmlformats.org/officeDocument/2006/relationships/hyperlink" Target="https://x.com/williamgarciatd" TargetMode="External"/><Relationship Id="rId301" Type="http://schemas.openxmlformats.org/officeDocument/2006/relationships/hyperlink" Target="https://www.facebook.com/MarcoHincapieR/" TargetMode="External"/><Relationship Id="rId322" Type="http://schemas.openxmlformats.org/officeDocument/2006/relationships/hyperlink" Target="https://www.tiktok.com/@lavallecaucana" TargetMode="External"/><Relationship Id="rId343" Type="http://schemas.openxmlformats.org/officeDocument/2006/relationships/hyperlink" Target="https://www.instagram.com/elmarioromero/" TargetMode="External"/><Relationship Id="rId364" Type="http://schemas.openxmlformats.org/officeDocument/2006/relationships/hyperlink" Target="https://www.facebook.com/WilkerEsneiderBautista" TargetMode="External"/><Relationship Id="rId61" Type="http://schemas.openxmlformats.org/officeDocument/2006/relationships/hyperlink" Target="https://x.com/NicolasToro2024" TargetMode="External"/><Relationship Id="rId82" Type="http://schemas.openxmlformats.org/officeDocument/2006/relationships/hyperlink" Target="https://x.com/Diego_Molano" TargetMode="External"/><Relationship Id="rId199" Type="http://schemas.openxmlformats.org/officeDocument/2006/relationships/hyperlink" Target="https://www.tiktok.com/@leonmariobedoya" TargetMode="External"/><Relationship Id="rId203" Type="http://schemas.openxmlformats.org/officeDocument/2006/relationships/hyperlink" Target="https://www.tiktok.com/@rosaacevedoj" TargetMode="External"/><Relationship Id="rId385" Type="http://schemas.openxmlformats.org/officeDocument/2006/relationships/hyperlink" Target="https://www.instagram.com/aminlosada_oficial/" TargetMode="External"/><Relationship Id="rId19" Type="http://schemas.openxmlformats.org/officeDocument/2006/relationships/hyperlink" Target="https://www.facebook.com/FicoGutierrezZ" TargetMode="External"/><Relationship Id="rId224" Type="http://schemas.openxmlformats.org/officeDocument/2006/relationships/hyperlink" Target="https://www.instagram.com/hectorrangelp/" TargetMode="External"/><Relationship Id="rId245" Type="http://schemas.openxmlformats.org/officeDocument/2006/relationships/hyperlink" Target="https://www.tiktok.com/@joseignarojas" TargetMode="External"/><Relationship Id="rId266" Type="http://schemas.openxmlformats.org/officeDocument/2006/relationships/hyperlink" Target="https://www.instagram.com/joseosoriog/" TargetMode="External"/><Relationship Id="rId287" Type="http://schemas.openxmlformats.org/officeDocument/2006/relationships/hyperlink" Target="https://www.instagram.com/camiloquirozh/" TargetMode="External"/><Relationship Id="rId410" Type="http://schemas.openxmlformats.org/officeDocument/2006/relationships/hyperlink" Target="https://www.instagram.com/jose.barreto.castillo" TargetMode="External"/><Relationship Id="rId431" Type="http://schemas.openxmlformats.org/officeDocument/2006/relationships/hyperlink" Target="https://www.facebook.com/luisordonez123456" TargetMode="External"/><Relationship Id="rId30" Type="http://schemas.openxmlformats.org/officeDocument/2006/relationships/hyperlink" Target="https://www.facebook.com/leo.jacome.3532/" TargetMode="External"/><Relationship Id="rId105" Type="http://schemas.openxmlformats.org/officeDocument/2006/relationships/hyperlink" Target="https://www.tiktok.com/@germancasaguab?lang=es-419" TargetMode="External"/><Relationship Id="rId126" Type="http://schemas.openxmlformats.org/officeDocument/2006/relationships/hyperlink" Target="https://www.tiktok.com/@dannycaiced0" TargetMode="External"/><Relationship Id="rId147" Type="http://schemas.openxmlformats.org/officeDocument/2006/relationships/hyperlink" Target="https://www.tiktok.com/@juancarlosgarciaherreros" TargetMode="External"/><Relationship Id="rId168" Type="http://schemas.openxmlformats.org/officeDocument/2006/relationships/hyperlink" Target="https://x.com/hectorfabio_" TargetMode="External"/><Relationship Id="rId312" Type="http://schemas.openxmlformats.org/officeDocument/2006/relationships/hyperlink" Target="https://x.com/mmoraleslavoz" TargetMode="External"/><Relationship Id="rId333" Type="http://schemas.openxmlformats.org/officeDocument/2006/relationships/hyperlink" Target="https://www.instagram.com/claudiandradegonzalez/" TargetMode="External"/><Relationship Id="rId354" Type="http://schemas.openxmlformats.org/officeDocument/2006/relationships/hyperlink" Target="https://www.facebook.com/BettyZorroA/" TargetMode="External"/><Relationship Id="rId51" Type="http://schemas.openxmlformats.org/officeDocument/2006/relationships/hyperlink" Target="https://www.tiktok.com/@yahiracunaalcalde" TargetMode="External"/><Relationship Id="rId72" Type="http://schemas.openxmlformats.org/officeDocument/2006/relationships/hyperlink" Target="https://x.com/AlexBaqueroS" TargetMode="External"/><Relationship Id="rId93" Type="http://schemas.openxmlformats.org/officeDocument/2006/relationships/hyperlink" Target="https://www.instagram.com/juancachavezn/" TargetMode="External"/><Relationship Id="rId189" Type="http://schemas.openxmlformats.org/officeDocument/2006/relationships/hyperlink" Target="https://www.instagram.com/jorge_enrique_robledo" TargetMode="External"/><Relationship Id="rId375" Type="http://schemas.openxmlformats.org/officeDocument/2006/relationships/hyperlink" Target="https://www.facebook.com/PaulinaAguinagaL/" TargetMode="External"/><Relationship Id="rId396" Type="http://schemas.openxmlformats.org/officeDocument/2006/relationships/hyperlink" Target="https://www.facebook.com/tobonsanin" TargetMode="External"/><Relationship Id="rId3" Type="http://schemas.openxmlformats.org/officeDocument/2006/relationships/hyperlink" Target="https://www.tiktok.com/@alejandrocharch" TargetMode="External"/><Relationship Id="rId214" Type="http://schemas.openxmlformats.org/officeDocument/2006/relationships/hyperlink" Target="https://www.tiktok.com/@general_vargas" TargetMode="External"/><Relationship Id="rId235" Type="http://schemas.openxmlformats.org/officeDocument/2006/relationships/hyperlink" Target="https://www.facebook.com/profesor.mijael.krasnov/" TargetMode="External"/><Relationship Id="rId256" Type="http://schemas.openxmlformats.org/officeDocument/2006/relationships/hyperlink" Target="https://www.instagram.com/robertojimenezdosquebradas/" TargetMode="External"/><Relationship Id="rId277" Type="http://schemas.openxmlformats.org/officeDocument/2006/relationships/hyperlink" Target="https://www.tiktok.com/@consueloberraca" TargetMode="External"/><Relationship Id="rId298" Type="http://schemas.openxmlformats.org/officeDocument/2006/relationships/hyperlink" Target="https://www.instagram.com/marcohincapie" TargetMode="External"/><Relationship Id="rId400" Type="http://schemas.openxmlformats.org/officeDocument/2006/relationships/hyperlink" Target="https://www.tiktok.com/@stefanygomezarmenia" TargetMode="External"/><Relationship Id="rId421" Type="http://schemas.openxmlformats.org/officeDocument/2006/relationships/hyperlink" Target="https://x.com/wilsongonzale_" TargetMode="External"/><Relationship Id="rId116" Type="http://schemas.openxmlformats.org/officeDocument/2006/relationships/hyperlink" Target="https://www.instagram.com/jose.fernando.sanchez/" TargetMode="External"/><Relationship Id="rId137" Type="http://schemas.openxmlformats.org/officeDocument/2006/relationships/hyperlink" Target="https://www.instagram.com/raulcardona_envigado/" TargetMode="External"/><Relationship Id="rId158" Type="http://schemas.openxmlformats.org/officeDocument/2006/relationships/hyperlink" Target="https://www.tiktok.com/@carlosparrabga" TargetMode="External"/><Relationship Id="rId302" Type="http://schemas.openxmlformats.org/officeDocument/2006/relationships/hyperlink" Target="https://x.com/libiamosquerav" TargetMode="External"/><Relationship Id="rId323" Type="http://schemas.openxmlformats.org/officeDocument/2006/relationships/hyperlink" Target="https://www.facebook.com/LaVallecaucana" TargetMode="External"/><Relationship Id="rId344" Type="http://schemas.openxmlformats.org/officeDocument/2006/relationships/hyperlink" Target="https://www.facebook.com/elmarioromero" TargetMode="External"/><Relationship Id="rId20" Type="http://schemas.openxmlformats.org/officeDocument/2006/relationships/hyperlink" Target="https://www.facebook.com/robertoortizu" TargetMode="External"/><Relationship Id="rId41" Type="http://schemas.openxmlformats.org/officeDocument/2006/relationships/hyperlink" Target="https://www.facebook.com/CarlosAlbertoPinedoCuello" TargetMode="External"/><Relationship Id="rId62" Type="http://schemas.openxmlformats.org/officeDocument/2006/relationships/hyperlink" Target="https://www.tiktok.com/@nicolastoro2024" TargetMode="External"/><Relationship Id="rId83" Type="http://schemas.openxmlformats.org/officeDocument/2006/relationships/hyperlink" Target="https://www.tiktok.com/@diegomolanoa" TargetMode="External"/><Relationship Id="rId179" Type="http://schemas.openxmlformats.org/officeDocument/2006/relationships/hyperlink" Target="https://www.tiktok.com/@williamgarciatd" TargetMode="External"/><Relationship Id="rId365" Type="http://schemas.openxmlformats.org/officeDocument/2006/relationships/hyperlink" Target="https://x.com/WilkerBautista" TargetMode="External"/><Relationship Id="rId386" Type="http://schemas.openxmlformats.org/officeDocument/2006/relationships/hyperlink" Target="https://x.com/LosadaAmin" TargetMode="External"/><Relationship Id="rId190" Type="http://schemas.openxmlformats.org/officeDocument/2006/relationships/hyperlink" Target="https://x.com/JERobledo" TargetMode="External"/><Relationship Id="rId204" Type="http://schemas.openxmlformats.org/officeDocument/2006/relationships/hyperlink" Target="https://www.facebook.com/RosaAcevedoJ/" TargetMode="External"/><Relationship Id="rId225" Type="http://schemas.openxmlformats.org/officeDocument/2006/relationships/hyperlink" Target="https://x.com/HectorRangelPal" TargetMode="External"/><Relationship Id="rId246" Type="http://schemas.openxmlformats.org/officeDocument/2006/relationships/hyperlink" Target="https://www.instagram.com/joseignarojas/" TargetMode="External"/><Relationship Id="rId267" Type="http://schemas.openxmlformats.org/officeDocument/2006/relationships/hyperlink" Target="https://www.tiktok.com/@joseosoriogalvis" TargetMode="External"/><Relationship Id="rId288" Type="http://schemas.openxmlformats.org/officeDocument/2006/relationships/hyperlink" Target="https://x.com/camiloquirozh" TargetMode="External"/><Relationship Id="rId411" Type="http://schemas.openxmlformats.org/officeDocument/2006/relationships/hyperlink" Target="https://x.com/JoseBarretoIbag" TargetMode="External"/><Relationship Id="rId432" Type="http://schemas.openxmlformats.org/officeDocument/2006/relationships/hyperlink" Target="https://www.consejodeestado.gov.co/news/2024/15.4-Mar-2024.php" TargetMode="External"/><Relationship Id="rId106" Type="http://schemas.openxmlformats.org/officeDocument/2006/relationships/hyperlink" Target="https://x.com/germancasaguab" TargetMode="External"/><Relationship Id="rId127" Type="http://schemas.openxmlformats.org/officeDocument/2006/relationships/hyperlink" Target="https://www.facebook.com/dannycaicedosoacha/" TargetMode="External"/><Relationship Id="rId313" Type="http://schemas.openxmlformats.org/officeDocument/2006/relationships/hyperlink" Target="https://www.tiktok.com/@miguelmoraleslavoz" TargetMode="External"/><Relationship Id="rId10" Type="http://schemas.openxmlformats.org/officeDocument/2006/relationships/hyperlink" Target="https://x.com/alejoeder" TargetMode="External"/><Relationship Id="rId31" Type="http://schemas.openxmlformats.org/officeDocument/2006/relationships/hyperlink" Target="https://www.facebook.com/DanisRenteriaChala/" TargetMode="External"/><Relationship Id="rId52" Type="http://schemas.openxmlformats.org/officeDocument/2006/relationships/hyperlink" Target="https://x.com/YahirAcunaCa" TargetMode="External"/><Relationship Id="rId73" Type="http://schemas.openxmlformats.org/officeDocument/2006/relationships/hyperlink" Target="https://www.instagram.com/alexbaqueros/" TargetMode="External"/><Relationship Id="rId94" Type="http://schemas.openxmlformats.org/officeDocument/2006/relationships/hyperlink" Target="https://x.com/juancachavezn" TargetMode="External"/><Relationship Id="rId148" Type="http://schemas.openxmlformats.org/officeDocument/2006/relationships/hyperlink" Target="https://www.facebook.com/juancarlosgarciaherreros/" TargetMode="External"/><Relationship Id="rId169" Type="http://schemas.openxmlformats.org/officeDocument/2006/relationships/hyperlink" Target="https://www.tiktok.com/@hectorfabiovelascohe" TargetMode="External"/><Relationship Id="rId334" Type="http://schemas.openxmlformats.org/officeDocument/2006/relationships/hyperlink" Target="https://x.com/Claudia1Andrade" TargetMode="External"/><Relationship Id="rId355" Type="http://schemas.openxmlformats.org/officeDocument/2006/relationships/hyperlink" Target="https://x.com/Nicolas_ramos_b" TargetMode="External"/><Relationship Id="rId376" Type="http://schemas.openxmlformats.org/officeDocument/2006/relationships/hyperlink" Target="https://www.instagram.com/emersonmenesesg/" TargetMode="External"/><Relationship Id="rId397" Type="http://schemas.openxmlformats.org/officeDocument/2006/relationships/hyperlink" Target="https://www.facebook.com/stefanygomezarmenia" TargetMode="External"/><Relationship Id="rId4" Type="http://schemas.openxmlformats.org/officeDocument/2006/relationships/hyperlink" Target="https://www.facebook.com/AlejandroCharCh" TargetMode="External"/><Relationship Id="rId180" Type="http://schemas.openxmlformats.org/officeDocument/2006/relationships/hyperlink" Target="https://www.facebook.com/williamrgarciatirado" TargetMode="External"/><Relationship Id="rId215" Type="http://schemas.openxmlformats.org/officeDocument/2006/relationships/hyperlink" Target="https://x.com/ElGeneralVargas" TargetMode="External"/><Relationship Id="rId236" Type="http://schemas.openxmlformats.org/officeDocument/2006/relationships/hyperlink" Target="https://www.tiktok.com/@proferusoalcalde" TargetMode="External"/><Relationship Id="rId257" Type="http://schemas.openxmlformats.org/officeDocument/2006/relationships/hyperlink" Target="https://www.tiktok.com/@robertojimenezof?_t=8cexpyzfhyq&amp;_r=1" TargetMode="External"/><Relationship Id="rId278" Type="http://schemas.openxmlformats.org/officeDocument/2006/relationships/hyperlink" Target="https://x.com/consuelordonez" TargetMode="External"/><Relationship Id="rId401" Type="http://schemas.openxmlformats.org/officeDocument/2006/relationships/hyperlink" Target="https://www.instagram.com/vicenteaojeda/" TargetMode="External"/><Relationship Id="rId422" Type="http://schemas.openxmlformats.org/officeDocument/2006/relationships/hyperlink" Target="https://www.instagram.com/rodolfo.correav/" TargetMode="External"/><Relationship Id="rId303" Type="http://schemas.openxmlformats.org/officeDocument/2006/relationships/hyperlink" Target="https://www.facebook.com/libia.mosqueraviveros/" TargetMode="External"/><Relationship Id="rId42" Type="http://schemas.openxmlformats.org/officeDocument/2006/relationships/hyperlink" Target="https://x.com/CarlosPinedoC" TargetMode="External"/><Relationship Id="rId84" Type="http://schemas.openxmlformats.org/officeDocument/2006/relationships/hyperlink" Target="https://www.facebook.com/lorenagonzalezospina/reels/" TargetMode="External"/><Relationship Id="rId138" Type="http://schemas.openxmlformats.org/officeDocument/2006/relationships/hyperlink" Target="https://www.instagram.com/diegotorresitagui/" TargetMode="External"/><Relationship Id="rId345" Type="http://schemas.openxmlformats.org/officeDocument/2006/relationships/hyperlink" Target="https://x.com/romeromario87" TargetMode="External"/><Relationship Id="rId387" Type="http://schemas.openxmlformats.org/officeDocument/2006/relationships/hyperlink" Target="https://www.tiktok.com/@aminlosadaperdomo" TargetMode="External"/><Relationship Id="rId191" Type="http://schemas.openxmlformats.org/officeDocument/2006/relationships/hyperlink" Target="https://www.tiktok.com/@jerobledo" TargetMode="External"/><Relationship Id="rId205" Type="http://schemas.openxmlformats.org/officeDocument/2006/relationships/hyperlink" Target="https://www.instagram.com/sergioflechas/" TargetMode="External"/><Relationship Id="rId247" Type="http://schemas.openxmlformats.org/officeDocument/2006/relationships/hyperlink" Target="https://www.facebook.com/Joseignaciorojasoficial/" TargetMode="External"/><Relationship Id="rId412" Type="http://schemas.openxmlformats.org/officeDocument/2006/relationships/hyperlink" Target="https://www.tiktok.com/@josebarretoc" TargetMode="External"/><Relationship Id="rId107" Type="http://schemas.openxmlformats.org/officeDocument/2006/relationships/hyperlink" Target="https://www.instagram.com/germancasaguab/?hl=es-la" TargetMode="External"/><Relationship Id="rId289" Type="http://schemas.openxmlformats.org/officeDocument/2006/relationships/hyperlink" Target="https://www.tiktok.com/@camiloquirozh" TargetMode="External"/><Relationship Id="rId11" Type="http://schemas.openxmlformats.org/officeDocument/2006/relationships/hyperlink" Target="https://www.tiktok.com/@alejoeder" TargetMode="External"/><Relationship Id="rId53" Type="http://schemas.openxmlformats.org/officeDocument/2006/relationships/hyperlink" Target="https://www.facebook.com/yahiracunaalcalde/" TargetMode="External"/><Relationship Id="rId149" Type="http://schemas.openxmlformats.org/officeDocument/2006/relationships/hyperlink" Target="https://www.instagram.com/ligiacordobamartinez/" TargetMode="External"/><Relationship Id="rId314" Type="http://schemas.openxmlformats.org/officeDocument/2006/relationships/hyperlink" Target="https://www.facebook.com/PadreHuerfano1/" TargetMode="External"/><Relationship Id="rId356" Type="http://schemas.openxmlformats.org/officeDocument/2006/relationships/hyperlink" Target="https://www.instagram.com/nicolas_ramos_b/" TargetMode="External"/><Relationship Id="rId398" Type="http://schemas.openxmlformats.org/officeDocument/2006/relationships/hyperlink" Target="https://www.instagram.com/stefanygomezarmenia/" TargetMode="External"/><Relationship Id="rId95" Type="http://schemas.openxmlformats.org/officeDocument/2006/relationships/hyperlink" Target="https://www.tiktok.com/@juancamilochavez" TargetMode="External"/><Relationship Id="rId160" Type="http://schemas.openxmlformats.org/officeDocument/2006/relationships/hyperlink" Target="https://www.instagram.com/diegomercadosanabria/" TargetMode="External"/><Relationship Id="rId216" Type="http://schemas.openxmlformats.org/officeDocument/2006/relationships/hyperlink" Target="https://www.facebook.com/ElGeneralVargas/" TargetMode="External"/><Relationship Id="rId423" Type="http://schemas.openxmlformats.org/officeDocument/2006/relationships/hyperlink" Target="https://x.com/RodolfoCorreaV" TargetMode="External"/><Relationship Id="rId258" Type="http://schemas.openxmlformats.org/officeDocument/2006/relationships/hyperlink" Target="https://x.com/robertoDdas23" TargetMode="External"/><Relationship Id="rId22" Type="http://schemas.openxmlformats.org/officeDocument/2006/relationships/hyperlink" Target="https://x.com/soyjaimeandres" TargetMode="External"/><Relationship Id="rId64" Type="http://schemas.openxmlformats.org/officeDocument/2006/relationships/hyperlink" Target="https://x.com/Jsvasquezg" TargetMode="External"/><Relationship Id="rId118" Type="http://schemas.openxmlformats.org/officeDocument/2006/relationships/hyperlink" Target="https://www.facebook.com/JoseFernandoSanchezOficial/" TargetMode="External"/><Relationship Id="rId325" Type="http://schemas.openxmlformats.org/officeDocument/2006/relationships/hyperlink" Target="https://www.instagram.com/Osoriobotelloconcejal" TargetMode="External"/><Relationship Id="rId367" Type="http://schemas.openxmlformats.org/officeDocument/2006/relationships/hyperlink" Target="https://www.instagram.com/wilker_bautista/" TargetMode="External"/><Relationship Id="rId171" Type="http://schemas.openxmlformats.org/officeDocument/2006/relationships/hyperlink" Target="https://x.com/JuanCarlosM_B" TargetMode="External"/><Relationship Id="rId227" Type="http://schemas.openxmlformats.org/officeDocument/2006/relationships/hyperlink" Target="https://www.facebook.com/hectorrangelpalacios/?locale=es_LA" TargetMode="External"/><Relationship Id="rId269" Type="http://schemas.openxmlformats.org/officeDocument/2006/relationships/hyperlink" Target="https://www.tiktok.com/@horaciojserpa" TargetMode="External"/><Relationship Id="rId434" Type="http://schemas.openxmlformats.org/officeDocument/2006/relationships/hyperlink" Target="https://www.facebook.com/rafaelquinteromora/" TargetMode="External"/><Relationship Id="rId33" Type="http://schemas.openxmlformats.org/officeDocument/2006/relationships/hyperlink" Target="https://x.com/DanisRenteria" TargetMode="External"/><Relationship Id="rId129" Type="http://schemas.openxmlformats.org/officeDocument/2006/relationships/hyperlink" Target="https://www.tiktok.com/@jorgebolivaribague" TargetMode="External"/><Relationship Id="rId280" Type="http://schemas.openxmlformats.org/officeDocument/2006/relationships/hyperlink" Target="https://www.instagram.com/pautorosantana/" TargetMode="External"/><Relationship Id="rId336" Type="http://schemas.openxmlformats.org/officeDocument/2006/relationships/hyperlink" Target="https://www.facebook.com/Claudia.Andrade.2022/" TargetMode="External"/><Relationship Id="rId75" Type="http://schemas.openxmlformats.org/officeDocument/2006/relationships/hyperlink" Target="https://www.facebook.com/jorgebolivaribague/?locale=es_LA" TargetMode="External"/><Relationship Id="rId140" Type="http://schemas.openxmlformats.org/officeDocument/2006/relationships/hyperlink" Target="https://www.tiktok.com/@diegotorresitagui" TargetMode="External"/><Relationship Id="rId182" Type="http://schemas.openxmlformats.org/officeDocument/2006/relationships/hyperlink" Target="https://www.facebook.com/JamesPadillaGar/" TargetMode="External"/><Relationship Id="rId378" Type="http://schemas.openxmlformats.org/officeDocument/2006/relationships/hyperlink" Target="https://www.tiktok.com/@emersonmenesesg?lang=es-419" TargetMode="External"/><Relationship Id="rId403" Type="http://schemas.openxmlformats.org/officeDocument/2006/relationships/hyperlink" Target="https://www.tiktok.com/@vicenteaojeda" TargetMode="External"/><Relationship Id="rId6" Type="http://schemas.openxmlformats.org/officeDocument/2006/relationships/hyperlink" Target="https://x.com/CarlosFGalan" TargetMode="External"/><Relationship Id="rId238" Type="http://schemas.openxmlformats.org/officeDocument/2006/relationships/hyperlink" Target="https://www.instagram.com/albertcorredor/?hl=es-la" TargetMode="External"/><Relationship Id="rId291" Type="http://schemas.openxmlformats.org/officeDocument/2006/relationships/hyperlink" Target="https://www.tiktok.com/@eribertoibarrac" TargetMode="External"/><Relationship Id="rId305" Type="http://schemas.openxmlformats.org/officeDocument/2006/relationships/hyperlink" Target="https://www.tiktok.com/@libiamosquerav" TargetMode="External"/><Relationship Id="rId347" Type="http://schemas.openxmlformats.org/officeDocument/2006/relationships/hyperlink" Target="https://www.instagram.com/nilsavillotarosero/" TargetMode="External"/><Relationship Id="rId44" Type="http://schemas.openxmlformats.org/officeDocument/2006/relationships/hyperlink" Target="https://www.facebook.com/alcira.sandoval.56679/" TargetMode="External"/><Relationship Id="rId86" Type="http://schemas.openxmlformats.org/officeDocument/2006/relationships/hyperlink" Target="https://www.tiktok.com/@lore_gonzalezospina" TargetMode="External"/><Relationship Id="rId151" Type="http://schemas.openxmlformats.org/officeDocument/2006/relationships/hyperlink" Target="https://x.com/LigiadelcarmenC" TargetMode="External"/><Relationship Id="rId389" Type="http://schemas.openxmlformats.org/officeDocument/2006/relationships/hyperlink" Target="https://www.instagram.com/sergiomaldonado_h/" TargetMode="External"/><Relationship Id="rId193" Type="http://schemas.openxmlformats.org/officeDocument/2006/relationships/hyperlink" Target="https://www.instagram.com/fabianoviedop/" TargetMode="External"/><Relationship Id="rId207" Type="http://schemas.openxmlformats.org/officeDocument/2006/relationships/hyperlink" Target="https://www.tiktok.com/@sergioflechas" TargetMode="External"/><Relationship Id="rId249" Type="http://schemas.openxmlformats.org/officeDocument/2006/relationships/hyperlink" Target="https://www.tiktok.com/@evragutierrez" TargetMode="External"/><Relationship Id="rId414" Type="http://schemas.openxmlformats.org/officeDocument/2006/relationships/hyperlink" Target="https://www.instagram.com/linadearmas" TargetMode="External"/><Relationship Id="rId13" Type="http://schemas.openxmlformats.org/officeDocument/2006/relationships/hyperlink" Target="https://www.instagram.com/dumek_turbay/" TargetMode="External"/><Relationship Id="rId109" Type="http://schemas.openxmlformats.org/officeDocument/2006/relationships/hyperlink" Target="https://x.com/javierjuliob/" TargetMode="External"/><Relationship Id="rId260" Type="http://schemas.openxmlformats.org/officeDocument/2006/relationships/hyperlink" Target="https://www.facebook.com/jorgenavasgranados/?locale=es_LA" TargetMode="External"/><Relationship Id="rId316" Type="http://schemas.openxmlformats.org/officeDocument/2006/relationships/hyperlink" Target="https://www.facebook.com/RenzoGarciaP/?locale=es_LA" TargetMode="External"/><Relationship Id="rId55" Type="http://schemas.openxmlformats.org/officeDocument/2006/relationships/hyperlink" Target="https://www.facebook.com/johanaarandar" TargetMode="External"/><Relationship Id="rId97" Type="http://schemas.openxmlformats.org/officeDocument/2006/relationships/hyperlink" Target="https://x.com/JulianPericoJr" TargetMode="External"/><Relationship Id="rId120" Type="http://schemas.openxmlformats.org/officeDocument/2006/relationships/hyperlink" Target="https://www.instagram.com/joaoherrera/?hl=es" TargetMode="External"/><Relationship Id="rId358" Type="http://schemas.openxmlformats.org/officeDocument/2006/relationships/hyperlink" Target="https://www.instagram.com/jorgeandresgechem/?hl=es" TargetMode="External"/><Relationship Id="rId162" Type="http://schemas.openxmlformats.org/officeDocument/2006/relationships/hyperlink" Target="https://www.instagram.com/judithpinedo_/" TargetMode="External"/><Relationship Id="rId218" Type="http://schemas.openxmlformats.org/officeDocument/2006/relationships/hyperlink" Target="https://www.tiktok.com/@dianafuentesmeneses" TargetMode="External"/><Relationship Id="rId425" Type="http://schemas.openxmlformats.org/officeDocument/2006/relationships/hyperlink" Target="https://www.facebook.com/RodolfoCorreaV7/" TargetMode="External"/><Relationship Id="rId271" Type="http://schemas.openxmlformats.org/officeDocument/2006/relationships/hyperlink" Target="https://www.facebook.com/horaciojserpa" TargetMode="External"/><Relationship Id="rId24" Type="http://schemas.openxmlformats.org/officeDocument/2006/relationships/hyperlink" Target="https://www.facebook.com/jorgeacevedooficial" TargetMode="External"/><Relationship Id="rId66" Type="http://schemas.openxmlformats.org/officeDocument/2006/relationships/hyperlink" Target="https://www.facebook.com/JonathanVasquezColombia" TargetMode="External"/><Relationship Id="rId131" Type="http://schemas.openxmlformats.org/officeDocument/2006/relationships/hyperlink" Target="https://x.com/bohorquezesova" TargetMode="External"/><Relationship Id="rId327" Type="http://schemas.openxmlformats.org/officeDocument/2006/relationships/hyperlink" Target="https://x.com/John_Carrero" TargetMode="External"/><Relationship Id="rId369" Type="http://schemas.openxmlformats.org/officeDocument/2006/relationships/hyperlink" Target="https://x.com/JhairManrique" TargetMode="External"/><Relationship Id="rId173" Type="http://schemas.openxmlformats.org/officeDocument/2006/relationships/hyperlink" Target="https://www.facebook.com/juancarlosmunozacp/?locale=es_LA" TargetMode="External"/><Relationship Id="rId229" Type="http://schemas.openxmlformats.org/officeDocument/2006/relationships/hyperlink" Target="https://www.instagram.com/elkindavidbueno/" TargetMode="External"/><Relationship Id="rId380" Type="http://schemas.openxmlformats.org/officeDocument/2006/relationships/hyperlink" Target="https://www.instagram.com/yilberleandrosaavedra/" TargetMode="External"/><Relationship Id="rId436" Type="http://schemas.openxmlformats.org/officeDocument/2006/relationships/hyperlink" Target="https://www.tiktok.com/@rafaelquinterom" TargetMode="External"/><Relationship Id="rId240" Type="http://schemas.openxmlformats.org/officeDocument/2006/relationships/hyperlink" Target="https://x.com/AlbertCorredor" TargetMode="External"/><Relationship Id="rId35" Type="http://schemas.openxmlformats.org/officeDocument/2006/relationships/hyperlink" Target="https://www.facebook.com/jorgeagudeloapreza/" TargetMode="External"/><Relationship Id="rId77" Type="http://schemas.openxmlformats.org/officeDocument/2006/relationships/hyperlink" Target="https://www.facebook.com/RodrigoLaraR" TargetMode="External"/><Relationship Id="rId100" Type="http://schemas.openxmlformats.org/officeDocument/2006/relationships/hyperlink" Target="https://x.com/victorramospal" TargetMode="External"/><Relationship Id="rId282" Type="http://schemas.openxmlformats.org/officeDocument/2006/relationships/hyperlink" Target="https://www.tiktok.com/@pautorosantana" TargetMode="External"/><Relationship Id="rId338" Type="http://schemas.openxmlformats.org/officeDocument/2006/relationships/hyperlink" Target="https://x.com/murillofer71" TargetMode="External"/><Relationship Id="rId8" Type="http://schemas.openxmlformats.org/officeDocument/2006/relationships/hyperlink" Target="https://www.facebook.com/carlosfgalan" TargetMode="External"/><Relationship Id="rId142" Type="http://schemas.openxmlformats.org/officeDocument/2006/relationships/hyperlink" Target="https://www.instagram.com/Marioenriquezch" TargetMode="External"/><Relationship Id="rId184" Type="http://schemas.openxmlformats.org/officeDocument/2006/relationships/hyperlink" Target="https://www.tiktok.com/@jamespadillag" TargetMode="External"/><Relationship Id="rId391" Type="http://schemas.openxmlformats.org/officeDocument/2006/relationships/hyperlink" Target="https://www.tiktok.com/@sergiomaldonadoh" TargetMode="External"/><Relationship Id="rId405" Type="http://schemas.openxmlformats.org/officeDocument/2006/relationships/hyperlink" Target="https://www.facebook.com/feliperestrepot" TargetMode="External"/><Relationship Id="rId251" Type="http://schemas.openxmlformats.org/officeDocument/2006/relationships/hyperlink" Target="https://www.instagram.com/elviragutierrezh_/" TargetMode="External"/><Relationship Id="rId46" Type="http://schemas.openxmlformats.org/officeDocument/2006/relationships/hyperlink" Target="https://www.tiktok.com/@alcirasandovali" TargetMode="External"/><Relationship Id="rId293" Type="http://schemas.openxmlformats.org/officeDocument/2006/relationships/hyperlink" Target="https://www.instagram.com/eribertoibarrac/" TargetMode="External"/><Relationship Id="rId307" Type="http://schemas.openxmlformats.org/officeDocument/2006/relationships/hyperlink" Target="https://x.com/HeinerGaitan" TargetMode="External"/><Relationship Id="rId349" Type="http://schemas.openxmlformats.org/officeDocument/2006/relationships/hyperlink" Target="https://www.tiktok.com/@nilsavillotarosero" TargetMode="External"/><Relationship Id="rId88" Type="http://schemas.openxmlformats.org/officeDocument/2006/relationships/hyperlink" Target="https://www.instagram.com/maicolopera/" TargetMode="External"/><Relationship Id="rId111" Type="http://schemas.openxmlformats.org/officeDocument/2006/relationships/hyperlink" Target="https://www.facebook.com/javierjuliob" TargetMode="External"/><Relationship Id="rId153" Type="http://schemas.openxmlformats.org/officeDocument/2006/relationships/hyperlink" Target="https://www.instagram.com/irinasalasl/" TargetMode="External"/><Relationship Id="rId195" Type="http://schemas.openxmlformats.org/officeDocument/2006/relationships/hyperlink" Target="https://www.facebook.com/FabianOviedoP" TargetMode="External"/><Relationship Id="rId209" Type="http://schemas.openxmlformats.org/officeDocument/2006/relationships/hyperlink" Target="https://www.instagram.com/stevencardenas1/" TargetMode="External"/><Relationship Id="rId360" Type="http://schemas.openxmlformats.org/officeDocument/2006/relationships/hyperlink" Target="https://www.instagram.com/marthaalzateh/" TargetMode="External"/><Relationship Id="rId416" Type="http://schemas.openxmlformats.org/officeDocument/2006/relationships/hyperlink" Target="https://www.tiktok.com/@linadearmas10" TargetMode="External"/><Relationship Id="rId220" Type="http://schemas.openxmlformats.org/officeDocument/2006/relationships/hyperlink" Target="https://www.instagram.com/genaroredondoc/" TargetMode="External"/><Relationship Id="rId15" Type="http://schemas.openxmlformats.org/officeDocument/2006/relationships/hyperlink" Target="https://www.facebook.com/DumekTurbayP" TargetMode="External"/><Relationship Id="rId57" Type="http://schemas.openxmlformats.org/officeDocument/2006/relationships/hyperlink" Target="https://x.com/johanaaranda_" TargetMode="External"/><Relationship Id="rId262" Type="http://schemas.openxmlformats.org/officeDocument/2006/relationships/hyperlink" Target="https://x.com/JorgeANavasG" TargetMode="External"/><Relationship Id="rId318" Type="http://schemas.openxmlformats.org/officeDocument/2006/relationships/hyperlink" Target="https://www.instagram.com/renzo.garcia1" TargetMode="External"/><Relationship Id="rId99" Type="http://schemas.openxmlformats.org/officeDocument/2006/relationships/hyperlink" Target="https://www.tiktok.com/@julianperico" TargetMode="External"/><Relationship Id="rId122" Type="http://schemas.openxmlformats.org/officeDocument/2006/relationships/hyperlink" Target="https://www.tiktok.com/@joao_herrera" TargetMode="External"/><Relationship Id="rId164" Type="http://schemas.openxmlformats.org/officeDocument/2006/relationships/hyperlink" Target="https://www.tiktok.com/@judithpinedo_" TargetMode="External"/><Relationship Id="rId371" Type="http://schemas.openxmlformats.org/officeDocument/2006/relationships/hyperlink" Target="https://www.facebook.com/jhair.manrique/" TargetMode="External"/><Relationship Id="rId427" Type="http://schemas.openxmlformats.org/officeDocument/2006/relationships/hyperlink" Target="https://www.facebook.com/jaime.calderon.319247/" TargetMode="External"/><Relationship Id="rId26" Type="http://schemas.openxmlformats.org/officeDocument/2006/relationships/hyperlink" Target="https://www.facebook.com/natalialofuentes" TargetMode="External"/><Relationship Id="rId231" Type="http://schemas.openxmlformats.org/officeDocument/2006/relationships/hyperlink" Target="https://www.tiktok.com/@elkin.david.bueno" TargetMode="External"/><Relationship Id="rId273" Type="http://schemas.openxmlformats.org/officeDocument/2006/relationships/hyperlink" Target="https://www.tiktok.com/@tatianalopezsaldarriaga" TargetMode="External"/><Relationship Id="rId329" Type="http://schemas.openxmlformats.org/officeDocument/2006/relationships/hyperlink" Target="https://www.instagram.com/figueroafernandezmario/" TargetMode="External"/><Relationship Id="rId68" Type="http://schemas.openxmlformats.org/officeDocument/2006/relationships/hyperlink" Target="https://www.instagram.com/ernestoorozcod/" TargetMode="External"/><Relationship Id="rId133" Type="http://schemas.openxmlformats.org/officeDocument/2006/relationships/hyperlink" Target="https://www.facebook.com/antonio.e.collazos/" TargetMode="External"/><Relationship Id="rId175" Type="http://schemas.openxmlformats.org/officeDocument/2006/relationships/hyperlink" Target="https://www.facebook.com/joseluisdiagof" TargetMode="External"/><Relationship Id="rId340" Type="http://schemas.openxmlformats.org/officeDocument/2006/relationships/hyperlink" Target="https://www.facebook.com/fernandomurilloorrego/?locale=es_LA" TargetMode="External"/><Relationship Id="rId200" Type="http://schemas.openxmlformats.org/officeDocument/2006/relationships/hyperlink" Target="https://www.facebook.com/LeonMarioBedoyaLopez" TargetMode="External"/><Relationship Id="rId382" Type="http://schemas.openxmlformats.org/officeDocument/2006/relationships/hyperlink" Target="https://www.facebook.com/Yilber.Saavedra.Neiva/" TargetMode="External"/><Relationship Id="rId438" Type="http://schemas.openxmlformats.org/officeDocument/2006/relationships/hyperlink" Target="https://www.tiktok.com/@padrehuerfano1" TargetMode="External"/><Relationship Id="rId242" Type="http://schemas.openxmlformats.org/officeDocument/2006/relationships/hyperlink" Target="https://www.instagram.com/joseduranro/" TargetMode="External"/><Relationship Id="rId284" Type="http://schemas.openxmlformats.org/officeDocument/2006/relationships/hyperlink" Target="https://www.instagram.com/adolforomerolider/" TargetMode="External"/><Relationship Id="rId37" Type="http://schemas.openxmlformats.org/officeDocument/2006/relationships/hyperlink" Target="https://www.tiktok.com/@jorgeagudeloa" TargetMode="External"/><Relationship Id="rId79" Type="http://schemas.openxmlformats.org/officeDocument/2006/relationships/hyperlink" Target="https://www.tiktok.com/@soyrodrigolara" TargetMode="External"/><Relationship Id="rId102" Type="http://schemas.openxmlformats.org/officeDocument/2006/relationships/hyperlink" Target="https://www.instagram.com/victorramospal/" TargetMode="External"/><Relationship Id="rId144" Type="http://schemas.openxmlformats.org/officeDocument/2006/relationships/hyperlink" Target="https://www.facebook.com/marioernesto.enriquezchenas" TargetMode="External"/><Relationship Id="rId90" Type="http://schemas.openxmlformats.org/officeDocument/2006/relationships/hyperlink" Target="https://x.com/maicolopera" TargetMode="External"/><Relationship Id="rId186" Type="http://schemas.openxmlformats.org/officeDocument/2006/relationships/hyperlink" Target="https://www.tiktok.com/@miyerlandit" TargetMode="External"/><Relationship Id="rId351" Type="http://schemas.openxmlformats.org/officeDocument/2006/relationships/hyperlink" Target="https://www.instagram.com/bettyzorro/" TargetMode="External"/><Relationship Id="rId393" Type="http://schemas.openxmlformats.org/officeDocument/2006/relationships/hyperlink" Target="https://www.instagram.com/tobonsanin" TargetMode="External"/><Relationship Id="rId407" Type="http://schemas.openxmlformats.org/officeDocument/2006/relationships/hyperlink" Target="https://x.com/deninsonmendoza?s=21" TargetMode="External"/><Relationship Id="rId211" Type="http://schemas.openxmlformats.org/officeDocument/2006/relationships/hyperlink" Target="https://www.tiktok.com/@stevencardenas1" TargetMode="External"/><Relationship Id="rId253" Type="http://schemas.openxmlformats.org/officeDocument/2006/relationships/hyperlink" Target="https://x.com/CJoseMoreno" TargetMode="External"/><Relationship Id="rId295" Type="http://schemas.openxmlformats.org/officeDocument/2006/relationships/hyperlink" Target="https://x.com/omauriciotoro" TargetMode="External"/><Relationship Id="rId309" Type="http://schemas.openxmlformats.org/officeDocument/2006/relationships/hyperlink" Target="https://www.facebook.com/GaitanParraHeiner/" TargetMode="External"/><Relationship Id="rId48" Type="http://schemas.openxmlformats.org/officeDocument/2006/relationships/hyperlink" Target="https://www.tiktok.com/@mauriciosalazarpelaez" TargetMode="External"/><Relationship Id="rId113" Type="http://schemas.openxmlformats.org/officeDocument/2006/relationships/hyperlink" Target="https://x.com/nestorrestrepob" TargetMode="External"/><Relationship Id="rId320" Type="http://schemas.openxmlformats.org/officeDocument/2006/relationships/hyperlink" Target="https://www.instagram.com/lavallecaucana" TargetMode="External"/><Relationship Id="rId155" Type="http://schemas.openxmlformats.org/officeDocument/2006/relationships/hyperlink" Target="https://x.com/IrinaSalasL" TargetMode="External"/><Relationship Id="rId197" Type="http://schemas.openxmlformats.org/officeDocument/2006/relationships/hyperlink" Target="https://www.instagram.com/leonmariobedoyalopez" TargetMode="External"/><Relationship Id="rId362" Type="http://schemas.openxmlformats.org/officeDocument/2006/relationships/hyperlink" Target="https://x.com/MarthaAlzate_" TargetMode="External"/><Relationship Id="rId418" Type="http://schemas.openxmlformats.org/officeDocument/2006/relationships/hyperlink" Target="https://www.facebook.com/wilsongonzalezpiedecuesta/" TargetMode="External"/><Relationship Id="rId222" Type="http://schemas.openxmlformats.org/officeDocument/2006/relationships/hyperlink" Target="https://www.tiktok.com/@genaroredondocholes" TargetMode="External"/><Relationship Id="rId264" Type="http://schemas.openxmlformats.org/officeDocument/2006/relationships/hyperlink" Target="https://www.facebook.com/joseluisosoriogalviis/mentions/" TargetMode="External"/><Relationship Id="rId17" Type="http://schemas.openxmlformats.org/officeDocument/2006/relationships/hyperlink" Target="https://x.com/FicoGutierrez" TargetMode="External"/><Relationship Id="rId59" Type="http://schemas.openxmlformats.org/officeDocument/2006/relationships/hyperlink" Target="https://www.facebook.com/nicolastoro24/?locale=ur_PK" TargetMode="External"/><Relationship Id="rId124" Type="http://schemas.openxmlformats.org/officeDocument/2006/relationships/hyperlink" Target="https://www.instagram.com/danny_caicedo/" TargetMode="External"/><Relationship Id="rId70" Type="http://schemas.openxmlformats.org/officeDocument/2006/relationships/hyperlink" Target="https://www.facebook.com/ErnestoMOrozcoD/?locale=es_LA" TargetMode="External"/><Relationship Id="rId166" Type="http://schemas.openxmlformats.org/officeDocument/2006/relationships/hyperlink" Target="https://www.instagram.com/hectorfabiovelascoh/" TargetMode="External"/><Relationship Id="rId331" Type="http://schemas.openxmlformats.org/officeDocument/2006/relationships/hyperlink" Target="https://www.tiktok.com/@mario_figueroa015" TargetMode="External"/><Relationship Id="rId373" Type="http://schemas.openxmlformats.org/officeDocument/2006/relationships/hyperlink" Target="https://x.com/PauAguinaga" TargetMode="External"/><Relationship Id="rId429" Type="http://schemas.openxmlformats.org/officeDocument/2006/relationships/hyperlink" Target="https://www.tiktok.com/@medicojaimecalderon" TargetMode="External"/><Relationship Id="rId1" Type="http://schemas.openxmlformats.org/officeDocument/2006/relationships/hyperlink" Target="https://www.instagram.com/alejandrocharch/" TargetMode="External"/><Relationship Id="rId233" Type="http://schemas.openxmlformats.org/officeDocument/2006/relationships/hyperlink" Target="https://www.facebook.com/jhony.velez.quintero.2025/" TargetMode="External"/><Relationship Id="rId440" Type="http://schemas.openxmlformats.org/officeDocument/2006/relationships/hyperlink" Target="https://www.facebook.com/plaza84/?ref=NONE_xav_ig_profile_page_web" TargetMode="External"/><Relationship Id="rId28" Type="http://schemas.openxmlformats.org/officeDocument/2006/relationships/hyperlink" Target="https://www.instagram.com/natalialopezfuentes/" TargetMode="External"/><Relationship Id="rId275" Type="http://schemas.openxmlformats.org/officeDocument/2006/relationships/hyperlink" Target="https://www.facebook.com/TatianaLopezSaldarriagaA" TargetMode="External"/><Relationship Id="rId300" Type="http://schemas.openxmlformats.org/officeDocument/2006/relationships/hyperlink" Target="https://www.tiktok.com/@marco_hincap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workbookViewId="0">
      <pane ySplit="1" topLeftCell="A347" activePane="bottomLeft" state="frozen"/>
      <selection pane="bottomLeft" activeCell="C353" sqref="C353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0" customWidth="1"/>
    <col min="5" max="5" width="6" customWidth="1"/>
    <col min="6" max="6" width="42" customWidth="1"/>
    <col min="7" max="7" width="46" customWidth="1"/>
    <col min="8" max="8" width="12" customWidth="1"/>
    <col min="9" max="9" width="9" customWidth="1"/>
  </cols>
  <sheetData>
    <row r="1" spans="1: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3" t="s">
        <v>12</v>
      </c>
      <c r="E2" s="3">
        <v>1</v>
      </c>
      <c r="F2" s="2" t="s">
        <v>13</v>
      </c>
      <c r="G2" s="2" t="s">
        <v>14</v>
      </c>
      <c r="H2" s="4">
        <v>1238</v>
      </c>
      <c r="I2" s="3" t="s">
        <v>15</v>
      </c>
    </row>
    <row r="3" spans="1:9" x14ac:dyDescent="0.25">
      <c r="A3" s="5" t="s">
        <v>16</v>
      </c>
      <c r="B3" s="5" t="s">
        <v>10</v>
      </c>
      <c r="C3" s="5" t="s">
        <v>11</v>
      </c>
      <c r="D3" s="6" t="s">
        <v>12</v>
      </c>
      <c r="E3" s="6">
        <v>2</v>
      </c>
      <c r="F3" s="5" t="s">
        <v>17</v>
      </c>
      <c r="G3" s="5" t="s">
        <v>18</v>
      </c>
      <c r="H3" s="7">
        <v>146</v>
      </c>
      <c r="I3" s="6" t="s">
        <v>15</v>
      </c>
    </row>
    <row r="4" spans="1:9" x14ac:dyDescent="0.25">
      <c r="A4" s="2" t="s">
        <v>19</v>
      </c>
      <c r="B4" s="2" t="s">
        <v>10</v>
      </c>
      <c r="C4" s="2" t="s">
        <v>11</v>
      </c>
      <c r="D4" s="3" t="s">
        <v>12</v>
      </c>
      <c r="E4" s="3">
        <v>3</v>
      </c>
      <c r="F4" s="2" t="s">
        <v>20</v>
      </c>
      <c r="G4" s="2" t="s">
        <v>21</v>
      </c>
      <c r="H4" s="4">
        <v>541</v>
      </c>
      <c r="I4" s="3" t="s">
        <v>15</v>
      </c>
    </row>
    <row r="5" spans="1:9" x14ac:dyDescent="0.25">
      <c r="A5" s="8" t="s">
        <v>22</v>
      </c>
      <c r="B5" s="8" t="s">
        <v>10</v>
      </c>
      <c r="C5" s="8" t="s">
        <v>11</v>
      </c>
      <c r="D5" s="9" t="s">
        <v>12</v>
      </c>
      <c r="E5" s="9">
        <v>4</v>
      </c>
      <c r="F5" s="8" t="s">
        <v>23</v>
      </c>
      <c r="G5" s="8" t="s">
        <v>24</v>
      </c>
      <c r="H5" s="10">
        <v>28317</v>
      </c>
      <c r="I5" s="9" t="s">
        <v>25</v>
      </c>
    </row>
    <row r="6" spans="1:9" x14ac:dyDescent="0.25">
      <c r="A6" s="2" t="s">
        <v>26</v>
      </c>
      <c r="B6" s="2" t="s">
        <v>10</v>
      </c>
      <c r="C6" s="2" t="s">
        <v>11</v>
      </c>
      <c r="D6" s="3" t="s">
        <v>12</v>
      </c>
      <c r="E6" s="3">
        <v>5</v>
      </c>
      <c r="F6" s="2" t="s">
        <v>27</v>
      </c>
      <c r="G6" s="2" t="s">
        <v>28</v>
      </c>
      <c r="H6" s="4">
        <v>21889</v>
      </c>
      <c r="I6" s="3" t="s">
        <v>15</v>
      </c>
    </row>
    <row r="7" spans="1:9" x14ac:dyDescent="0.25">
      <c r="A7" s="5" t="s">
        <v>29</v>
      </c>
      <c r="B7" s="5" t="s">
        <v>10</v>
      </c>
      <c r="C7" s="5" t="s">
        <v>11</v>
      </c>
      <c r="D7" s="6" t="s">
        <v>12</v>
      </c>
      <c r="E7" s="6">
        <v>6</v>
      </c>
      <c r="F7" s="5" t="s">
        <v>30</v>
      </c>
      <c r="G7" s="5" t="s">
        <v>31</v>
      </c>
      <c r="H7" s="7">
        <v>774</v>
      </c>
      <c r="I7" s="6" t="s">
        <v>15</v>
      </c>
    </row>
    <row r="8" spans="1:9" x14ac:dyDescent="0.25">
      <c r="A8" s="2" t="s">
        <v>32</v>
      </c>
      <c r="B8" s="2" t="s">
        <v>10</v>
      </c>
      <c r="C8" s="2" t="s">
        <v>11</v>
      </c>
      <c r="D8" s="3" t="s">
        <v>12</v>
      </c>
      <c r="E8" s="3">
        <v>7</v>
      </c>
      <c r="F8" s="2" t="s">
        <v>33</v>
      </c>
      <c r="G8" s="2" t="s">
        <v>34</v>
      </c>
      <c r="H8" s="4">
        <v>352</v>
      </c>
      <c r="I8" s="3" t="s">
        <v>15</v>
      </c>
    </row>
    <row r="9" spans="1:9" x14ac:dyDescent="0.25">
      <c r="A9" s="5" t="s">
        <v>35</v>
      </c>
      <c r="B9" s="5" t="s">
        <v>10</v>
      </c>
      <c r="C9" s="5" t="s">
        <v>11</v>
      </c>
      <c r="D9" s="6" t="s">
        <v>12</v>
      </c>
      <c r="E9" s="6">
        <v>8</v>
      </c>
      <c r="F9" s="5" t="s">
        <v>36</v>
      </c>
      <c r="G9" s="5" t="s">
        <v>37</v>
      </c>
      <c r="H9" s="7">
        <v>0</v>
      </c>
      <c r="I9" s="6" t="s">
        <v>15</v>
      </c>
    </row>
    <row r="10" spans="1:9" x14ac:dyDescent="0.25">
      <c r="A10" s="2" t="s">
        <v>38</v>
      </c>
      <c r="B10" s="2" t="s">
        <v>10</v>
      </c>
      <c r="C10" s="2" t="s">
        <v>11</v>
      </c>
      <c r="D10" s="3" t="s">
        <v>12</v>
      </c>
      <c r="E10" s="3">
        <v>9</v>
      </c>
      <c r="F10" s="2" t="s">
        <v>39</v>
      </c>
      <c r="G10" s="2" t="s">
        <v>40</v>
      </c>
      <c r="H10" s="4">
        <v>0</v>
      </c>
      <c r="I10" s="3" t="s">
        <v>15</v>
      </c>
    </row>
    <row r="11" spans="1:9" x14ac:dyDescent="0.25">
      <c r="A11" s="5" t="s">
        <v>41</v>
      </c>
      <c r="B11" s="5" t="s">
        <v>10</v>
      </c>
      <c r="C11" s="5" t="s">
        <v>11</v>
      </c>
      <c r="D11" s="6" t="s">
        <v>12</v>
      </c>
      <c r="E11" s="6">
        <v>10</v>
      </c>
      <c r="F11" s="5" t="s">
        <v>42</v>
      </c>
      <c r="G11" s="5" t="s">
        <v>43</v>
      </c>
      <c r="H11" s="7">
        <v>579</v>
      </c>
      <c r="I11" s="6" t="s">
        <v>15</v>
      </c>
    </row>
    <row r="12" spans="1:9" x14ac:dyDescent="0.25">
      <c r="A12" s="2" t="s">
        <v>44</v>
      </c>
      <c r="B12" s="2" t="s">
        <v>10</v>
      </c>
      <c r="C12" s="2" t="s">
        <v>11</v>
      </c>
      <c r="D12" s="3" t="s">
        <v>12</v>
      </c>
      <c r="E12" s="3">
        <v>11</v>
      </c>
      <c r="F12" s="2" t="s">
        <v>45</v>
      </c>
      <c r="G12" s="2" t="s">
        <v>46</v>
      </c>
      <c r="H12" s="4">
        <v>0</v>
      </c>
      <c r="I12" s="3" t="s">
        <v>15</v>
      </c>
    </row>
    <row r="13" spans="1:9" x14ac:dyDescent="0.25">
      <c r="A13" s="5" t="s">
        <v>47</v>
      </c>
      <c r="B13" s="5" t="s">
        <v>48</v>
      </c>
      <c r="C13" s="5" t="s">
        <v>49</v>
      </c>
      <c r="D13" s="6" t="s">
        <v>50</v>
      </c>
      <c r="E13" s="6">
        <v>1</v>
      </c>
      <c r="F13" s="5" t="s">
        <v>51</v>
      </c>
      <c r="G13" s="5" t="s">
        <v>52</v>
      </c>
      <c r="H13" s="7">
        <v>388</v>
      </c>
      <c r="I13" s="6" t="s">
        <v>15</v>
      </c>
    </row>
    <row r="14" spans="1:9" x14ac:dyDescent="0.25">
      <c r="A14" s="2" t="s">
        <v>53</v>
      </c>
      <c r="B14" s="2" t="s">
        <v>48</v>
      </c>
      <c r="C14" s="2" t="s">
        <v>49</v>
      </c>
      <c r="D14" s="3" t="s">
        <v>50</v>
      </c>
      <c r="E14" s="3">
        <v>2</v>
      </c>
      <c r="F14" s="2" t="s">
        <v>54</v>
      </c>
      <c r="G14" s="2" t="s">
        <v>40</v>
      </c>
      <c r="H14" s="4">
        <v>1503</v>
      </c>
      <c r="I14" s="3" t="s">
        <v>15</v>
      </c>
    </row>
    <row r="15" spans="1:9" x14ac:dyDescent="0.25">
      <c r="A15" s="5" t="s">
        <v>55</v>
      </c>
      <c r="B15" s="5" t="s">
        <v>48</v>
      </c>
      <c r="C15" s="5" t="s">
        <v>49</v>
      </c>
      <c r="D15" s="6" t="s">
        <v>50</v>
      </c>
      <c r="E15" s="6">
        <v>3</v>
      </c>
      <c r="F15" s="5" t="s">
        <v>56</v>
      </c>
      <c r="G15" s="5" t="s">
        <v>57</v>
      </c>
      <c r="H15" s="7">
        <v>11674</v>
      </c>
      <c r="I15" s="6" t="s">
        <v>15</v>
      </c>
    </row>
    <row r="16" spans="1:9" x14ac:dyDescent="0.25">
      <c r="A16" s="2" t="s">
        <v>58</v>
      </c>
      <c r="B16" s="2" t="s">
        <v>48</v>
      </c>
      <c r="C16" s="2" t="s">
        <v>49</v>
      </c>
      <c r="D16" s="3" t="s">
        <v>50</v>
      </c>
      <c r="E16" s="3">
        <v>4</v>
      </c>
      <c r="F16" s="2" t="s">
        <v>59</v>
      </c>
      <c r="G16" s="2" t="s">
        <v>60</v>
      </c>
      <c r="H16" s="4">
        <v>9436</v>
      </c>
      <c r="I16" s="3" t="s">
        <v>15</v>
      </c>
    </row>
    <row r="17" spans="1:9" x14ac:dyDescent="0.25">
      <c r="A17" s="5" t="s">
        <v>61</v>
      </c>
      <c r="B17" s="5" t="s">
        <v>48</v>
      </c>
      <c r="C17" s="5" t="s">
        <v>49</v>
      </c>
      <c r="D17" s="6" t="s">
        <v>50</v>
      </c>
      <c r="E17" s="6">
        <v>5</v>
      </c>
      <c r="F17" s="5" t="s">
        <v>62</v>
      </c>
      <c r="G17" s="5" t="s">
        <v>63</v>
      </c>
      <c r="H17" s="7">
        <v>1928</v>
      </c>
      <c r="I17" s="6" t="s">
        <v>15</v>
      </c>
    </row>
    <row r="18" spans="1:9" x14ac:dyDescent="0.25">
      <c r="A18" s="2" t="s">
        <v>64</v>
      </c>
      <c r="B18" s="2" t="s">
        <v>48</v>
      </c>
      <c r="C18" s="2" t="s">
        <v>49</v>
      </c>
      <c r="D18" s="3" t="s">
        <v>50</v>
      </c>
      <c r="E18" s="3">
        <v>6</v>
      </c>
      <c r="F18" s="2" t="s">
        <v>65</v>
      </c>
      <c r="G18" s="2" t="s">
        <v>66</v>
      </c>
      <c r="H18" s="4">
        <v>5135</v>
      </c>
      <c r="I18" s="3" t="s">
        <v>15</v>
      </c>
    </row>
    <row r="19" spans="1:9" x14ac:dyDescent="0.25">
      <c r="A19" s="5" t="s">
        <v>67</v>
      </c>
      <c r="B19" s="5" t="s">
        <v>48</v>
      </c>
      <c r="C19" s="5" t="s">
        <v>49</v>
      </c>
      <c r="D19" s="6" t="s">
        <v>50</v>
      </c>
      <c r="E19" s="6">
        <v>7</v>
      </c>
      <c r="F19" s="5" t="s">
        <v>68</v>
      </c>
      <c r="G19" s="5" t="s">
        <v>14</v>
      </c>
      <c r="H19" s="7">
        <v>7569</v>
      </c>
      <c r="I19" s="6" t="s">
        <v>15</v>
      </c>
    </row>
    <row r="20" spans="1:9" x14ac:dyDescent="0.25">
      <c r="A20" s="2" t="s">
        <v>69</v>
      </c>
      <c r="B20" s="2" t="s">
        <v>48</v>
      </c>
      <c r="C20" s="2" t="s">
        <v>49</v>
      </c>
      <c r="D20" s="3" t="s">
        <v>50</v>
      </c>
      <c r="E20" s="3">
        <v>8</v>
      </c>
      <c r="F20" s="2" t="s">
        <v>70</v>
      </c>
      <c r="G20" s="2" t="s">
        <v>71</v>
      </c>
      <c r="H20" s="4">
        <v>983</v>
      </c>
      <c r="I20" s="3" t="s">
        <v>15</v>
      </c>
    </row>
    <row r="21" spans="1:9" x14ac:dyDescent="0.25">
      <c r="A21" s="5" t="s">
        <v>72</v>
      </c>
      <c r="B21" s="5" t="s">
        <v>48</v>
      </c>
      <c r="C21" s="5" t="s">
        <v>49</v>
      </c>
      <c r="D21" s="6" t="s">
        <v>50</v>
      </c>
      <c r="E21" s="6">
        <v>9</v>
      </c>
      <c r="F21" s="5" t="s">
        <v>73</v>
      </c>
      <c r="G21" s="5" t="s">
        <v>74</v>
      </c>
      <c r="H21" s="7">
        <v>2516</v>
      </c>
      <c r="I21" s="6" t="s">
        <v>15</v>
      </c>
    </row>
    <row r="22" spans="1:9" x14ac:dyDescent="0.25">
      <c r="A22" s="2" t="s">
        <v>75</v>
      </c>
      <c r="B22" s="2" t="s">
        <v>48</v>
      </c>
      <c r="C22" s="2" t="s">
        <v>49</v>
      </c>
      <c r="D22" s="3" t="s">
        <v>50</v>
      </c>
      <c r="E22" s="3">
        <v>10</v>
      </c>
      <c r="F22" s="2" t="s">
        <v>76</v>
      </c>
      <c r="G22" s="2" t="s">
        <v>77</v>
      </c>
      <c r="H22" s="4">
        <v>10996</v>
      </c>
      <c r="I22" s="3" t="s">
        <v>15</v>
      </c>
    </row>
    <row r="23" spans="1:9" x14ac:dyDescent="0.25">
      <c r="A23" s="5" t="s">
        <v>78</v>
      </c>
      <c r="B23" s="5" t="s">
        <v>48</v>
      </c>
      <c r="C23" s="5" t="s">
        <v>49</v>
      </c>
      <c r="D23" s="6" t="s">
        <v>50</v>
      </c>
      <c r="E23" s="6">
        <v>11</v>
      </c>
      <c r="F23" s="5" t="s">
        <v>79</v>
      </c>
      <c r="G23" s="5" t="s">
        <v>80</v>
      </c>
      <c r="H23" s="7">
        <v>1914</v>
      </c>
      <c r="I23" s="6" t="s">
        <v>15</v>
      </c>
    </row>
    <row r="24" spans="1:9" x14ac:dyDescent="0.25">
      <c r="A24" s="2" t="s">
        <v>81</v>
      </c>
      <c r="B24" s="2" t="s">
        <v>48</v>
      </c>
      <c r="C24" s="2" t="s">
        <v>49</v>
      </c>
      <c r="D24" s="3" t="s">
        <v>50</v>
      </c>
      <c r="E24" s="3">
        <v>12</v>
      </c>
      <c r="F24" s="2" t="s">
        <v>82</v>
      </c>
      <c r="G24" s="2" t="s">
        <v>34</v>
      </c>
      <c r="H24" s="4">
        <v>698</v>
      </c>
      <c r="I24" s="3" t="s">
        <v>15</v>
      </c>
    </row>
    <row r="25" spans="1:9" x14ac:dyDescent="0.25">
      <c r="A25" s="8" t="s">
        <v>83</v>
      </c>
      <c r="B25" s="8" t="s">
        <v>48</v>
      </c>
      <c r="C25" s="8" t="s">
        <v>49</v>
      </c>
      <c r="D25" s="9" t="s">
        <v>50</v>
      </c>
      <c r="E25" s="9">
        <v>13</v>
      </c>
      <c r="F25" s="8" t="s">
        <v>84</v>
      </c>
      <c r="G25" s="8" t="s">
        <v>85</v>
      </c>
      <c r="H25" s="10">
        <v>35703</v>
      </c>
      <c r="I25" s="9" t="s">
        <v>25</v>
      </c>
    </row>
    <row r="26" spans="1:9" x14ac:dyDescent="0.25">
      <c r="A26" s="2" t="s">
        <v>86</v>
      </c>
      <c r="B26" s="2" t="s">
        <v>48</v>
      </c>
      <c r="C26" s="2" t="s">
        <v>49</v>
      </c>
      <c r="D26" s="3" t="s">
        <v>50</v>
      </c>
      <c r="E26" s="3">
        <v>14</v>
      </c>
      <c r="F26" s="2" t="s">
        <v>87</v>
      </c>
      <c r="G26" s="2" t="s">
        <v>88</v>
      </c>
      <c r="H26" s="4">
        <v>26687</v>
      </c>
      <c r="I26" s="3" t="s">
        <v>15</v>
      </c>
    </row>
    <row r="27" spans="1:9" x14ac:dyDescent="0.25">
      <c r="A27" s="5" t="s">
        <v>89</v>
      </c>
      <c r="B27" s="5" t="s">
        <v>90</v>
      </c>
      <c r="C27" s="5" t="s">
        <v>91</v>
      </c>
      <c r="D27" s="6" t="s">
        <v>92</v>
      </c>
      <c r="E27" s="6">
        <v>1</v>
      </c>
      <c r="F27" s="5" t="s">
        <v>93</v>
      </c>
      <c r="G27" s="5" t="s">
        <v>80</v>
      </c>
      <c r="H27" s="7">
        <v>411</v>
      </c>
      <c r="I27" s="6" t="s">
        <v>15</v>
      </c>
    </row>
    <row r="28" spans="1:9" x14ac:dyDescent="0.25">
      <c r="A28" s="2" t="s">
        <v>94</v>
      </c>
      <c r="B28" s="2" t="s">
        <v>90</v>
      </c>
      <c r="C28" s="2" t="s">
        <v>91</v>
      </c>
      <c r="D28" s="3" t="s">
        <v>92</v>
      </c>
      <c r="E28" s="3">
        <v>2</v>
      </c>
      <c r="F28" s="2" t="s">
        <v>95</v>
      </c>
      <c r="G28" s="2" t="s">
        <v>96</v>
      </c>
      <c r="H28" s="4">
        <v>1000</v>
      </c>
      <c r="I28" s="3" t="s">
        <v>15</v>
      </c>
    </row>
    <row r="29" spans="1:9" x14ac:dyDescent="0.25">
      <c r="A29" s="5" t="s">
        <v>97</v>
      </c>
      <c r="B29" s="5" t="s">
        <v>90</v>
      </c>
      <c r="C29" s="5" t="s">
        <v>91</v>
      </c>
      <c r="D29" s="6" t="s">
        <v>92</v>
      </c>
      <c r="E29" s="6">
        <v>3</v>
      </c>
      <c r="F29" s="5" t="s">
        <v>98</v>
      </c>
      <c r="G29" s="5" t="s">
        <v>99</v>
      </c>
      <c r="H29" s="7">
        <v>15779</v>
      </c>
      <c r="I29" s="6" t="s">
        <v>15</v>
      </c>
    </row>
    <row r="30" spans="1:9" x14ac:dyDescent="0.25">
      <c r="A30" s="2" t="s">
        <v>100</v>
      </c>
      <c r="B30" s="2" t="s">
        <v>90</v>
      </c>
      <c r="C30" s="2" t="s">
        <v>91</v>
      </c>
      <c r="D30" s="3" t="s">
        <v>92</v>
      </c>
      <c r="E30" s="3">
        <v>4</v>
      </c>
      <c r="F30" s="2" t="s">
        <v>101</v>
      </c>
      <c r="G30" s="2" t="s">
        <v>37</v>
      </c>
      <c r="H30" s="4">
        <v>1020</v>
      </c>
      <c r="I30" s="3" t="s">
        <v>15</v>
      </c>
    </row>
    <row r="31" spans="1:9" x14ac:dyDescent="0.25">
      <c r="A31" s="8" t="s">
        <v>102</v>
      </c>
      <c r="B31" s="8" t="s">
        <v>90</v>
      </c>
      <c r="C31" s="8" t="s">
        <v>91</v>
      </c>
      <c r="D31" s="9" t="s">
        <v>92</v>
      </c>
      <c r="E31" s="9">
        <v>5</v>
      </c>
      <c r="F31" s="8" t="s">
        <v>103</v>
      </c>
      <c r="G31" s="8" t="s">
        <v>104</v>
      </c>
      <c r="H31" s="10">
        <v>72593</v>
      </c>
      <c r="I31" s="9" t="s">
        <v>25</v>
      </c>
    </row>
    <row r="32" spans="1:9" x14ac:dyDescent="0.25">
      <c r="A32" s="2" t="s">
        <v>105</v>
      </c>
      <c r="B32" s="2" t="s">
        <v>90</v>
      </c>
      <c r="C32" s="2" t="s">
        <v>91</v>
      </c>
      <c r="D32" s="3" t="s">
        <v>92</v>
      </c>
      <c r="E32" s="3">
        <v>6</v>
      </c>
      <c r="F32" s="2" t="s">
        <v>106</v>
      </c>
      <c r="G32" s="2" t="s">
        <v>107</v>
      </c>
      <c r="H32" s="4">
        <v>28025</v>
      </c>
      <c r="I32" s="3" t="s">
        <v>15</v>
      </c>
    </row>
    <row r="33" spans="1:9" x14ac:dyDescent="0.25">
      <c r="A33" s="5" t="s">
        <v>108</v>
      </c>
      <c r="B33" s="5" t="s">
        <v>90</v>
      </c>
      <c r="C33" s="5" t="s">
        <v>91</v>
      </c>
      <c r="D33" s="6" t="s">
        <v>92</v>
      </c>
      <c r="E33" s="6">
        <v>7</v>
      </c>
      <c r="F33" s="5" t="s">
        <v>109</v>
      </c>
      <c r="G33" s="5" t="s">
        <v>63</v>
      </c>
      <c r="H33" s="7">
        <v>639</v>
      </c>
      <c r="I33" s="6" t="s">
        <v>15</v>
      </c>
    </row>
    <row r="34" spans="1:9" x14ac:dyDescent="0.25">
      <c r="A34" s="2" t="s">
        <v>110</v>
      </c>
      <c r="B34" s="2" t="s">
        <v>90</v>
      </c>
      <c r="C34" s="2" t="s">
        <v>91</v>
      </c>
      <c r="D34" s="3" t="s">
        <v>92</v>
      </c>
      <c r="E34" s="3">
        <v>8</v>
      </c>
      <c r="F34" s="2" t="s">
        <v>111</v>
      </c>
      <c r="G34" s="2" t="s">
        <v>112</v>
      </c>
      <c r="H34" s="4">
        <v>361</v>
      </c>
      <c r="I34" s="3" t="s">
        <v>15</v>
      </c>
    </row>
    <row r="35" spans="1:9" x14ac:dyDescent="0.25">
      <c r="A35" s="5" t="s">
        <v>113</v>
      </c>
      <c r="B35" s="5" t="s">
        <v>90</v>
      </c>
      <c r="C35" s="5" t="s">
        <v>91</v>
      </c>
      <c r="D35" s="6" t="s">
        <v>92</v>
      </c>
      <c r="E35" s="6">
        <v>9</v>
      </c>
      <c r="F35" s="5" t="s">
        <v>114</v>
      </c>
      <c r="G35" s="5" t="s">
        <v>71</v>
      </c>
      <c r="H35" s="7">
        <v>614</v>
      </c>
      <c r="I35" s="6" t="s">
        <v>15</v>
      </c>
    </row>
    <row r="36" spans="1:9" x14ac:dyDescent="0.25">
      <c r="A36" s="2" t="s">
        <v>115</v>
      </c>
      <c r="B36" s="2" t="s">
        <v>90</v>
      </c>
      <c r="C36" s="2" t="s">
        <v>91</v>
      </c>
      <c r="D36" s="3" t="s">
        <v>92</v>
      </c>
      <c r="E36" s="3">
        <v>10</v>
      </c>
      <c r="F36" s="2" t="s">
        <v>116</v>
      </c>
      <c r="G36" s="2" t="s">
        <v>14</v>
      </c>
      <c r="H36" s="4">
        <v>2740</v>
      </c>
      <c r="I36" s="3" t="s">
        <v>15</v>
      </c>
    </row>
    <row r="37" spans="1:9" x14ac:dyDescent="0.25">
      <c r="A37" s="5" t="s">
        <v>117</v>
      </c>
      <c r="B37" s="5" t="s">
        <v>90</v>
      </c>
      <c r="C37" s="5" t="s">
        <v>91</v>
      </c>
      <c r="D37" s="6" t="s">
        <v>92</v>
      </c>
      <c r="E37" s="6">
        <v>11</v>
      </c>
      <c r="F37" s="5" t="s">
        <v>118</v>
      </c>
      <c r="G37" s="5" t="s">
        <v>40</v>
      </c>
      <c r="H37" s="7">
        <v>68</v>
      </c>
      <c r="I37" s="6" t="s">
        <v>15</v>
      </c>
    </row>
    <row r="38" spans="1:9" x14ac:dyDescent="0.25">
      <c r="A38" s="2" t="s">
        <v>119</v>
      </c>
      <c r="B38" s="2" t="s">
        <v>90</v>
      </c>
      <c r="C38" s="2" t="s">
        <v>91</v>
      </c>
      <c r="D38" s="3" t="s">
        <v>92</v>
      </c>
      <c r="E38" s="3">
        <v>12</v>
      </c>
      <c r="F38" s="2" t="s">
        <v>120</v>
      </c>
      <c r="G38" s="2" t="s">
        <v>31</v>
      </c>
      <c r="H38" s="4">
        <v>133</v>
      </c>
      <c r="I38" s="3" t="s">
        <v>15</v>
      </c>
    </row>
    <row r="39" spans="1:9" x14ac:dyDescent="0.25">
      <c r="A39" s="5" t="s">
        <v>121</v>
      </c>
      <c r="B39" s="5" t="s">
        <v>122</v>
      </c>
      <c r="C39" s="5" t="s">
        <v>123</v>
      </c>
      <c r="D39" s="6" t="s">
        <v>124</v>
      </c>
      <c r="E39" s="6">
        <v>1</v>
      </c>
      <c r="F39" s="5" t="s">
        <v>125</v>
      </c>
      <c r="G39" s="5" t="s">
        <v>126</v>
      </c>
      <c r="H39" s="7">
        <v>7790</v>
      </c>
      <c r="I39" s="6" t="s">
        <v>15</v>
      </c>
    </row>
    <row r="40" spans="1:9" x14ac:dyDescent="0.25">
      <c r="A40" s="8" t="s">
        <v>127</v>
      </c>
      <c r="B40" s="8" t="s">
        <v>122</v>
      </c>
      <c r="C40" s="8" t="s">
        <v>123</v>
      </c>
      <c r="D40" s="9" t="s">
        <v>124</v>
      </c>
      <c r="E40" s="9">
        <v>2</v>
      </c>
      <c r="F40" s="8" t="s">
        <v>128</v>
      </c>
      <c r="G40" s="8" t="s">
        <v>129</v>
      </c>
      <c r="H40" s="10">
        <v>417644</v>
      </c>
      <c r="I40" s="9" t="s">
        <v>25</v>
      </c>
    </row>
    <row r="41" spans="1:9" x14ac:dyDescent="0.25">
      <c r="A41" s="5" t="s">
        <v>130</v>
      </c>
      <c r="B41" s="5" t="s">
        <v>122</v>
      </c>
      <c r="C41" s="5" t="s">
        <v>123</v>
      </c>
      <c r="D41" s="6" t="s">
        <v>124</v>
      </c>
      <c r="E41" s="6">
        <v>3</v>
      </c>
      <c r="F41" s="5" t="s">
        <v>131</v>
      </c>
      <c r="G41" s="5" t="s">
        <v>132</v>
      </c>
      <c r="H41" s="7">
        <v>7659</v>
      </c>
      <c r="I41" s="6" t="s">
        <v>15</v>
      </c>
    </row>
    <row r="42" spans="1:9" x14ac:dyDescent="0.25">
      <c r="A42" s="2" t="s">
        <v>133</v>
      </c>
      <c r="B42" s="2" t="s">
        <v>122</v>
      </c>
      <c r="C42" s="2" t="s">
        <v>123</v>
      </c>
      <c r="D42" s="3" t="s">
        <v>124</v>
      </c>
      <c r="E42" s="3">
        <v>4</v>
      </c>
      <c r="F42" s="2" t="s">
        <v>134</v>
      </c>
      <c r="G42" s="2" t="s">
        <v>52</v>
      </c>
      <c r="H42" s="4">
        <v>4874</v>
      </c>
      <c r="I42" s="3" t="s">
        <v>15</v>
      </c>
    </row>
    <row r="43" spans="1:9" x14ac:dyDescent="0.25">
      <c r="A43" s="5" t="s">
        <v>135</v>
      </c>
      <c r="B43" s="5" t="s">
        <v>122</v>
      </c>
      <c r="C43" s="5" t="s">
        <v>123</v>
      </c>
      <c r="D43" s="6" t="s">
        <v>124</v>
      </c>
      <c r="E43" s="6">
        <v>5</v>
      </c>
      <c r="F43" s="5" t="s">
        <v>136</v>
      </c>
      <c r="G43" s="5" t="s">
        <v>137</v>
      </c>
      <c r="H43" s="7">
        <v>53144</v>
      </c>
      <c r="I43" s="6" t="s">
        <v>15</v>
      </c>
    </row>
    <row r="44" spans="1:9" x14ac:dyDescent="0.25">
      <c r="A44" s="2" t="s">
        <v>138</v>
      </c>
      <c r="B44" s="2" t="s">
        <v>122</v>
      </c>
      <c r="C44" s="2" t="s">
        <v>123</v>
      </c>
      <c r="D44" s="3" t="s">
        <v>124</v>
      </c>
      <c r="E44" s="3">
        <v>6</v>
      </c>
      <c r="F44" s="2" t="s">
        <v>139</v>
      </c>
      <c r="G44" s="2" t="s">
        <v>63</v>
      </c>
      <c r="H44" s="4">
        <v>19052</v>
      </c>
      <c r="I44" s="3" t="s">
        <v>15</v>
      </c>
    </row>
    <row r="45" spans="1:9" x14ac:dyDescent="0.25">
      <c r="A45" s="5" t="s">
        <v>140</v>
      </c>
      <c r="B45" s="5" t="s">
        <v>141</v>
      </c>
      <c r="C45" s="5" t="s">
        <v>11</v>
      </c>
      <c r="D45" s="6" t="s">
        <v>142</v>
      </c>
      <c r="E45" s="6">
        <v>1</v>
      </c>
      <c r="F45" s="5" t="s">
        <v>143</v>
      </c>
      <c r="G45" s="5" t="s">
        <v>144</v>
      </c>
      <c r="H45" s="7">
        <v>11226</v>
      </c>
      <c r="I45" s="6" t="s">
        <v>15</v>
      </c>
    </row>
    <row r="46" spans="1:9" x14ac:dyDescent="0.25">
      <c r="A46" s="2" t="s">
        <v>145</v>
      </c>
      <c r="B46" s="2" t="s">
        <v>141</v>
      </c>
      <c r="C46" s="2" t="s">
        <v>11</v>
      </c>
      <c r="D46" s="3" t="s">
        <v>142</v>
      </c>
      <c r="E46" s="3">
        <v>2</v>
      </c>
      <c r="F46" s="2" t="s">
        <v>146</v>
      </c>
      <c r="G46" s="2" t="s">
        <v>18</v>
      </c>
      <c r="H46" s="4">
        <v>4439</v>
      </c>
      <c r="I46" s="3" t="s">
        <v>15</v>
      </c>
    </row>
    <row r="47" spans="1:9" x14ac:dyDescent="0.25">
      <c r="A47" s="8" t="s">
        <v>147</v>
      </c>
      <c r="B47" s="8" t="s">
        <v>141</v>
      </c>
      <c r="C47" s="8" t="s">
        <v>11</v>
      </c>
      <c r="D47" s="9" t="s">
        <v>142</v>
      </c>
      <c r="E47" s="9">
        <v>3</v>
      </c>
      <c r="F47" s="8" t="s">
        <v>148</v>
      </c>
      <c r="G47" s="8" t="s">
        <v>149</v>
      </c>
      <c r="H47" s="10">
        <v>64022</v>
      </c>
      <c r="I47" s="9" t="s">
        <v>25</v>
      </c>
    </row>
    <row r="48" spans="1:9" x14ac:dyDescent="0.25">
      <c r="A48" s="2" t="s">
        <v>150</v>
      </c>
      <c r="B48" s="2" t="s">
        <v>141</v>
      </c>
      <c r="C48" s="2" t="s">
        <v>11</v>
      </c>
      <c r="D48" s="3" t="s">
        <v>142</v>
      </c>
      <c r="E48" s="3">
        <v>4</v>
      </c>
      <c r="F48" s="2" t="s">
        <v>151</v>
      </c>
      <c r="G48" s="2" t="s">
        <v>63</v>
      </c>
      <c r="H48" s="4">
        <v>1562</v>
      </c>
      <c r="I48" s="3" t="s">
        <v>15</v>
      </c>
    </row>
    <row r="49" spans="1:9" x14ac:dyDescent="0.25">
      <c r="A49" s="5" t="s">
        <v>152</v>
      </c>
      <c r="B49" s="5" t="s">
        <v>141</v>
      </c>
      <c r="C49" s="5" t="s">
        <v>11</v>
      </c>
      <c r="D49" s="6" t="s">
        <v>142</v>
      </c>
      <c r="E49" s="6">
        <v>5</v>
      </c>
      <c r="F49" s="5" t="s">
        <v>153</v>
      </c>
      <c r="G49" s="5" t="s">
        <v>154</v>
      </c>
      <c r="H49" s="7">
        <v>7457</v>
      </c>
      <c r="I49" s="6" t="s">
        <v>15</v>
      </c>
    </row>
    <row r="50" spans="1:9" x14ac:dyDescent="0.25">
      <c r="A50" s="2" t="s">
        <v>155</v>
      </c>
      <c r="B50" s="2" t="s">
        <v>141</v>
      </c>
      <c r="C50" s="2" t="s">
        <v>11</v>
      </c>
      <c r="D50" s="3" t="s">
        <v>142</v>
      </c>
      <c r="E50" s="3">
        <v>6</v>
      </c>
      <c r="F50" s="2" t="s">
        <v>156</v>
      </c>
      <c r="G50" s="2" t="s">
        <v>157</v>
      </c>
      <c r="H50" s="4">
        <v>684</v>
      </c>
      <c r="I50" s="3" t="s">
        <v>15</v>
      </c>
    </row>
    <row r="51" spans="1:9" x14ac:dyDescent="0.25">
      <c r="A51" s="5" t="s">
        <v>158</v>
      </c>
      <c r="B51" s="5" t="s">
        <v>141</v>
      </c>
      <c r="C51" s="5" t="s">
        <v>11</v>
      </c>
      <c r="D51" s="6" t="s">
        <v>142</v>
      </c>
      <c r="E51" s="6">
        <v>7</v>
      </c>
      <c r="F51" s="5" t="s">
        <v>159</v>
      </c>
      <c r="G51" s="5" t="s">
        <v>160</v>
      </c>
      <c r="H51" s="7">
        <v>2035</v>
      </c>
      <c r="I51" s="6" t="s">
        <v>15</v>
      </c>
    </row>
    <row r="52" spans="1:9" x14ac:dyDescent="0.25">
      <c r="A52" s="2" t="s">
        <v>161</v>
      </c>
      <c r="B52" s="2" t="s">
        <v>141</v>
      </c>
      <c r="C52" s="2" t="s">
        <v>11</v>
      </c>
      <c r="D52" s="3" t="s">
        <v>142</v>
      </c>
      <c r="E52" s="3">
        <v>8</v>
      </c>
      <c r="F52" s="2" t="s">
        <v>162</v>
      </c>
      <c r="G52" s="2" t="s">
        <v>163</v>
      </c>
      <c r="H52" s="4">
        <v>56635</v>
      </c>
      <c r="I52" s="3" t="s">
        <v>15</v>
      </c>
    </row>
    <row r="53" spans="1:9" x14ac:dyDescent="0.25">
      <c r="A53" s="5" t="s">
        <v>164</v>
      </c>
      <c r="B53" s="5" t="s">
        <v>141</v>
      </c>
      <c r="C53" s="5" t="s">
        <v>11</v>
      </c>
      <c r="D53" s="6" t="s">
        <v>142</v>
      </c>
      <c r="E53" s="6">
        <v>9</v>
      </c>
      <c r="F53" s="5" t="s">
        <v>165</v>
      </c>
      <c r="G53" s="5" t="s">
        <v>166</v>
      </c>
      <c r="H53" s="7">
        <v>348</v>
      </c>
      <c r="I53" s="6" t="s">
        <v>15</v>
      </c>
    </row>
    <row r="54" spans="1:9" x14ac:dyDescent="0.25">
      <c r="A54" s="2" t="s">
        <v>167</v>
      </c>
      <c r="B54" s="2" t="s">
        <v>168</v>
      </c>
      <c r="C54" s="2" t="s">
        <v>168</v>
      </c>
      <c r="D54" s="3" t="s">
        <v>169</v>
      </c>
      <c r="E54" s="3">
        <v>1</v>
      </c>
      <c r="F54" s="2" t="s">
        <v>170</v>
      </c>
      <c r="G54" s="2" t="s">
        <v>129</v>
      </c>
      <c r="H54" s="4">
        <v>31153</v>
      </c>
      <c r="I54" s="3" t="s">
        <v>15</v>
      </c>
    </row>
    <row r="55" spans="1:9" x14ac:dyDescent="0.25">
      <c r="A55" s="5" t="s">
        <v>171</v>
      </c>
      <c r="B55" s="5" t="s">
        <v>168</v>
      </c>
      <c r="C55" s="5" t="s">
        <v>168</v>
      </c>
      <c r="D55" s="6" t="s">
        <v>169</v>
      </c>
      <c r="E55" s="6">
        <v>2</v>
      </c>
      <c r="F55" s="5" t="s">
        <v>172</v>
      </c>
      <c r="G55" s="5" t="s">
        <v>173</v>
      </c>
      <c r="H55" s="7">
        <v>65681</v>
      </c>
      <c r="I55" s="6" t="s">
        <v>15</v>
      </c>
    </row>
    <row r="56" spans="1:9" x14ac:dyDescent="0.25">
      <c r="A56" s="2" t="s">
        <v>174</v>
      </c>
      <c r="B56" s="2" t="s">
        <v>168</v>
      </c>
      <c r="C56" s="2" t="s">
        <v>168</v>
      </c>
      <c r="D56" s="3" t="s">
        <v>169</v>
      </c>
      <c r="E56" s="3">
        <v>3</v>
      </c>
      <c r="F56" s="2" t="s">
        <v>175</v>
      </c>
      <c r="G56" s="2" t="s">
        <v>176</v>
      </c>
      <c r="H56" s="4">
        <v>69639</v>
      </c>
      <c r="I56" s="3" t="s">
        <v>15</v>
      </c>
    </row>
    <row r="57" spans="1:9" x14ac:dyDescent="0.25">
      <c r="A57" s="5" t="s">
        <v>177</v>
      </c>
      <c r="B57" s="5" t="s">
        <v>168</v>
      </c>
      <c r="C57" s="5" t="s">
        <v>168</v>
      </c>
      <c r="D57" s="6" t="s">
        <v>169</v>
      </c>
      <c r="E57" s="6">
        <v>4</v>
      </c>
      <c r="F57" s="5" t="s">
        <v>178</v>
      </c>
      <c r="G57" s="5" t="s">
        <v>179</v>
      </c>
      <c r="H57" s="7">
        <v>14855</v>
      </c>
      <c r="I57" s="6" t="s">
        <v>15</v>
      </c>
    </row>
    <row r="58" spans="1:9" x14ac:dyDescent="0.25">
      <c r="A58" s="8" t="s">
        <v>180</v>
      </c>
      <c r="B58" s="8" t="s">
        <v>168</v>
      </c>
      <c r="C58" s="8" t="s">
        <v>168</v>
      </c>
      <c r="D58" s="9" t="s">
        <v>169</v>
      </c>
      <c r="E58" s="9">
        <v>5</v>
      </c>
      <c r="F58" s="8" t="s">
        <v>181</v>
      </c>
      <c r="G58" s="8" t="s">
        <v>182</v>
      </c>
      <c r="H58" s="10">
        <v>1499734</v>
      </c>
      <c r="I58" s="9" t="s">
        <v>25</v>
      </c>
    </row>
    <row r="59" spans="1:9" x14ac:dyDescent="0.25">
      <c r="A59" s="5" t="s">
        <v>183</v>
      </c>
      <c r="B59" s="5" t="s">
        <v>168</v>
      </c>
      <c r="C59" s="5" t="s">
        <v>168</v>
      </c>
      <c r="D59" s="6" t="s">
        <v>169</v>
      </c>
      <c r="E59" s="6">
        <v>6</v>
      </c>
      <c r="F59" s="5" t="s">
        <v>184</v>
      </c>
      <c r="G59" s="5" t="s">
        <v>185</v>
      </c>
      <c r="H59" s="7">
        <v>571948</v>
      </c>
      <c r="I59" s="6" t="s">
        <v>15</v>
      </c>
    </row>
    <row r="60" spans="1:9" x14ac:dyDescent="0.25">
      <c r="A60" s="2" t="s">
        <v>186</v>
      </c>
      <c r="B60" s="2" t="s">
        <v>168</v>
      </c>
      <c r="C60" s="2" t="s">
        <v>168</v>
      </c>
      <c r="D60" s="3" t="s">
        <v>169</v>
      </c>
      <c r="E60" s="3">
        <v>7</v>
      </c>
      <c r="F60" s="2" t="s">
        <v>187</v>
      </c>
      <c r="G60" s="2" t="s">
        <v>52</v>
      </c>
      <c r="H60" s="4">
        <v>2730</v>
      </c>
      <c r="I60" s="3" t="s">
        <v>15</v>
      </c>
    </row>
    <row r="61" spans="1:9" x14ac:dyDescent="0.25">
      <c r="A61" s="5" t="s">
        <v>188</v>
      </c>
      <c r="B61" s="5" t="s">
        <v>168</v>
      </c>
      <c r="C61" s="5" t="s">
        <v>168</v>
      </c>
      <c r="D61" s="6" t="s">
        <v>169</v>
      </c>
      <c r="E61" s="6">
        <v>8</v>
      </c>
      <c r="F61" s="5" t="s">
        <v>189</v>
      </c>
      <c r="G61" s="5" t="s">
        <v>190</v>
      </c>
      <c r="H61" s="7">
        <v>616902</v>
      </c>
      <c r="I61" s="6" t="s">
        <v>15</v>
      </c>
    </row>
    <row r="62" spans="1:9" x14ac:dyDescent="0.25">
      <c r="A62" s="2" t="s">
        <v>191</v>
      </c>
      <c r="B62" s="2" t="s">
        <v>168</v>
      </c>
      <c r="C62" s="2" t="s">
        <v>168</v>
      </c>
      <c r="D62" s="3" t="s">
        <v>169</v>
      </c>
      <c r="E62" s="3">
        <v>9</v>
      </c>
      <c r="F62" s="2" t="s">
        <v>192</v>
      </c>
      <c r="G62" s="2" t="s">
        <v>31</v>
      </c>
      <c r="H62" s="4">
        <v>34099</v>
      </c>
      <c r="I62" s="3" t="s">
        <v>15</v>
      </c>
    </row>
    <row r="63" spans="1:9" x14ac:dyDescent="0.25">
      <c r="A63" s="8" t="s">
        <v>193</v>
      </c>
      <c r="B63" s="8" t="s">
        <v>194</v>
      </c>
      <c r="C63" s="8" t="s">
        <v>91</v>
      </c>
      <c r="D63" s="9" t="s">
        <v>195</v>
      </c>
      <c r="E63" s="9">
        <v>1</v>
      </c>
      <c r="F63" s="8" t="s">
        <v>196</v>
      </c>
      <c r="G63" s="8" t="s">
        <v>197</v>
      </c>
      <c r="H63" s="10">
        <v>91418</v>
      </c>
      <c r="I63" s="9" t="s">
        <v>25</v>
      </c>
    </row>
    <row r="64" spans="1:9" x14ac:dyDescent="0.25">
      <c r="A64" s="2" t="s">
        <v>198</v>
      </c>
      <c r="B64" s="2" t="s">
        <v>194</v>
      </c>
      <c r="C64" s="2" t="s">
        <v>91</v>
      </c>
      <c r="D64" s="3" t="s">
        <v>195</v>
      </c>
      <c r="E64" s="3">
        <v>2</v>
      </c>
      <c r="F64" s="2" t="s">
        <v>199</v>
      </c>
      <c r="G64" s="2" t="s">
        <v>200</v>
      </c>
      <c r="H64" s="4">
        <v>33995</v>
      </c>
      <c r="I64" s="3" t="s">
        <v>15</v>
      </c>
    </row>
    <row r="65" spans="1:9" x14ac:dyDescent="0.25">
      <c r="A65" s="5" t="s">
        <v>201</v>
      </c>
      <c r="B65" s="5" t="s">
        <v>194</v>
      </c>
      <c r="C65" s="5" t="s">
        <v>91</v>
      </c>
      <c r="D65" s="6" t="s">
        <v>195</v>
      </c>
      <c r="E65" s="6">
        <v>3</v>
      </c>
      <c r="F65" s="5" t="s">
        <v>202</v>
      </c>
      <c r="G65" s="5" t="s">
        <v>203</v>
      </c>
      <c r="H65" s="7">
        <v>22726</v>
      </c>
      <c r="I65" s="6" t="s">
        <v>15</v>
      </c>
    </row>
    <row r="66" spans="1:9" x14ac:dyDescent="0.25">
      <c r="A66" s="2" t="s">
        <v>204</v>
      </c>
      <c r="B66" s="2" t="s">
        <v>194</v>
      </c>
      <c r="C66" s="2" t="s">
        <v>91</v>
      </c>
      <c r="D66" s="3" t="s">
        <v>195</v>
      </c>
      <c r="E66" s="3">
        <v>4</v>
      </c>
      <c r="F66" s="2" t="s">
        <v>205</v>
      </c>
      <c r="G66" s="2" t="s">
        <v>71</v>
      </c>
      <c r="H66" s="4">
        <v>1050</v>
      </c>
      <c r="I66" s="3" t="s">
        <v>15</v>
      </c>
    </row>
    <row r="67" spans="1:9" x14ac:dyDescent="0.25">
      <c r="A67" s="5" t="s">
        <v>206</v>
      </c>
      <c r="B67" s="5" t="s">
        <v>194</v>
      </c>
      <c r="C67" s="5" t="s">
        <v>91</v>
      </c>
      <c r="D67" s="6" t="s">
        <v>195</v>
      </c>
      <c r="E67" s="6">
        <v>5</v>
      </c>
      <c r="F67" s="5" t="s">
        <v>207</v>
      </c>
      <c r="G67" s="5" t="s">
        <v>40</v>
      </c>
      <c r="H67" s="7">
        <v>642</v>
      </c>
      <c r="I67" s="6" t="s">
        <v>15</v>
      </c>
    </row>
    <row r="68" spans="1:9" x14ac:dyDescent="0.25">
      <c r="A68" s="2" t="s">
        <v>208</v>
      </c>
      <c r="B68" s="2" t="s">
        <v>194</v>
      </c>
      <c r="C68" s="2" t="s">
        <v>91</v>
      </c>
      <c r="D68" s="3" t="s">
        <v>195</v>
      </c>
      <c r="E68" s="3">
        <v>6</v>
      </c>
      <c r="F68" s="2" t="s">
        <v>209</v>
      </c>
      <c r="G68" s="2" t="s">
        <v>160</v>
      </c>
      <c r="H68" s="4">
        <v>1001</v>
      </c>
      <c r="I68" s="3" t="s">
        <v>15</v>
      </c>
    </row>
    <row r="69" spans="1:9" x14ac:dyDescent="0.25">
      <c r="A69" s="5" t="s">
        <v>210</v>
      </c>
      <c r="B69" s="5" t="s">
        <v>194</v>
      </c>
      <c r="C69" s="5" t="s">
        <v>91</v>
      </c>
      <c r="D69" s="6" t="s">
        <v>195</v>
      </c>
      <c r="E69" s="6">
        <v>7</v>
      </c>
      <c r="F69" s="5" t="s">
        <v>211</v>
      </c>
      <c r="G69" s="5" t="s">
        <v>34</v>
      </c>
      <c r="H69" s="7">
        <v>361</v>
      </c>
      <c r="I69" s="6" t="s">
        <v>15</v>
      </c>
    </row>
    <row r="70" spans="1:9" x14ac:dyDescent="0.25">
      <c r="A70" s="2" t="s">
        <v>212</v>
      </c>
      <c r="B70" s="2" t="s">
        <v>194</v>
      </c>
      <c r="C70" s="2" t="s">
        <v>91</v>
      </c>
      <c r="D70" s="3" t="s">
        <v>195</v>
      </c>
      <c r="E70" s="3">
        <v>8</v>
      </c>
      <c r="F70" s="2" t="s">
        <v>213</v>
      </c>
      <c r="G70" s="2" t="s">
        <v>214</v>
      </c>
      <c r="H70" s="4">
        <v>39004</v>
      </c>
      <c r="I70" s="3" t="s">
        <v>15</v>
      </c>
    </row>
    <row r="71" spans="1:9" x14ac:dyDescent="0.25">
      <c r="A71" s="5" t="s">
        <v>215</v>
      </c>
      <c r="B71" s="5" t="s">
        <v>194</v>
      </c>
      <c r="C71" s="5" t="s">
        <v>91</v>
      </c>
      <c r="D71" s="6" t="s">
        <v>195</v>
      </c>
      <c r="E71" s="6">
        <v>9</v>
      </c>
      <c r="F71" s="5" t="s">
        <v>216</v>
      </c>
      <c r="G71" s="5" t="s">
        <v>80</v>
      </c>
      <c r="H71" s="7">
        <v>2544</v>
      </c>
      <c r="I71" s="6" t="s">
        <v>15</v>
      </c>
    </row>
    <row r="72" spans="1:9" x14ac:dyDescent="0.25">
      <c r="A72" s="2" t="s">
        <v>217</v>
      </c>
      <c r="B72" s="2" t="s">
        <v>194</v>
      </c>
      <c r="C72" s="2" t="s">
        <v>91</v>
      </c>
      <c r="D72" s="3" t="s">
        <v>195</v>
      </c>
      <c r="E72" s="3">
        <v>10</v>
      </c>
      <c r="F72" s="2" t="s">
        <v>218</v>
      </c>
      <c r="G72" s="2" t="s">
        <v>112</v>
      </c>
      <c r="H72" s="4">
        <v>328</v>
      </c>
      <c r="I72" s="3" t="s">
        <v>15</v>
      </c>
    </row>
    <row r="73" spans="1:9" x14ac:dyDescent="0.25">
      <c r="A73" s="5" t="s">
        <v>219</v>
      </c>
      <c r="B73" s="5" t="s">
        <v>194</v>
      </c>
      <c r="C73" s="5" t="s">
        <v>91</v>
      </c>
      <c r="D73" s="6" t="s">
        <v>195</v>
      </c>
      <c r="E73" s="6">
        <v>11</v>
      </c>
      <c r="F73" s="5" t="s">
        <v>220</v>
      </c>
      <c r="G73" s="5" t="s">
        <v>221</v>
      </c>
      <c r="H73" s="7">
        <v>8212</v>
      </c>
      <c r="I73" s="6" t="s">
        <v>15</v>
      </c>
    </row>
    <row r="74" spans="1:9" x14ac:dyDescent="0.25">
      <c r="A74" s="2" t="s">
        <v>222</v>
      </c>
      <c r="B74" s="2" t="s">
        <v>194</v>
      </c>
      <c r="C74" s="2" t="s">
        <v>91</v>
      </c>
      <c r="D74" s="3" t="s">
        <v>195</v>
      </c>
      <c r="E74" s="3">
        <v>12</v>
      </c>
      <c r="F74" s="2" t="s">
        <v>223</v>
      </c>
      <c r="G74" s="2" t="s">
        <v>224</v>
      </c>
      <c r="H74" s="4">
        <v>10326</v>
      </c>
      <c r="I74" s="3" t="s">
        <v>15</v>
      </c>
    </row>
    <row r="75" spans="1:9" x14ac:dyDescent="0.25">
      <c r="A75" s="5" t="s">
        <v>225</v>
      </c>
      <c r="B75" s="5" t="s">
        <v>194</v>
      </c>
      <c r="C75" s="5" t="s">
        <v>91</v>
      </c>
      <c r="D75" s="6" t="s">
        <v>195</v>
      </c>
      <c r="E75" s="6">
        <v>13</v>
      </c>
      <c r="F75" s="5" t="s">
        <v>226</v>
      </c>
      <c r="G75" s="5" t="s">
        <v>227</v>
      </c>
      <c r="H75" s="7">
        <v>10693</v>
      </c>
      <c r="I75" s="6" t="s">
        <v>15</v>
      </c>
    </row>
    <row r="76" spans="1:9" x14ac:dyDescent="0.25">
      <c r="A76" s="2" t="s">
        <v>228</v>
      </c>
      <c r="B76" s="2" t="s">
        <v>194</v>
      </c>
      <c r="C76" s="2" t="s">
        <v>91</v>
      </c>
      <c r="D76" s="3" t="s">
        <v>195</v>
      </c>
      <c r="E76" s="3">
        <v>14</v>
      </c>
      <c r="F76" s="2" t="s">
        <v>229</v>
      </c>
      <c r="G76" s="2" t="s">
        <v>230</v>
      </c>
      <c r="H76" s="4">
        <v>1779</v>
      </c>
      <c r="I76" s="3" t="s">
        <v>15</v>
      </c>
    </row>
    <row r="77" spans="1:9" x14ac:dyDescent="0.25">
      <c r="A77" s="5" t="s">
        <v>231</v>
      </c>
      <c r="B77" s="5" t="s">
        <v>194</v>
      </c>
      <c r="C77" s="5" t="s">
        <v>91</v>
      </c>
      <c r="D77" s="6" t="s">
        <v>195</v>
      </c>
      <c r="E77" s="6">
        <v>15</v>
      </c>
      <c r="F77" s="5" t="s">
        <v>232</v>
      </c>
      <c r="G77" s="5" t="s">
        <v>233</v>
      </c>
      <c r="H77" s="7">
        <v>23551</v>
      </c>
      <c r="I77" s="6" t="s">
        <v>15</v>
      </c>
    </row>
    <row r="78" spans="1:9" x14ac:dyDescent="0.25">
      <c r="A78" s="2" t="s">
        <v>234</v>
      </c>
      <c r="B78" s="2" t="s">
        <v>235</v>
      </c>
      <c r="C78" s="2" t="s">
        <v>236</v>
      </c>
      <c r="D78" s="3" t="s">
        <v>237</v>
      </c>
      <c r="E78" s="3">
        <v>1</v>
      </c>
      <c r="F78" s="2" t="s">
        <v>238</v>
      </c>
      <c r="G78" s="2" t="s">
        <v>63</v>
      </c>
      <c r="H78" s="4">
        <v>179</v>
      </c>
      <c r="I78" s="3" t="s">
        <v>15</v>
      </c>
    </row>
    <row r="79" spans="1:9" x14ac:dyDescent="0.25">
      <c r="A79" s="5" t="s">
        <v>239</v>
      </c>
      <c r="B79" s="5" t="s">
        <v>235</v>
      </c>
      <c r="C79" s="5" t="s">
        <v>236</v>
      </c>
      <c r="D79" s="6" t="s">
        <v>237</v>
      </c>
      <c r="E79" s="6">
        <v>2</v>
      </c>
      <c r="F79" s="5" t="s">
        <v>240</v>
      </c>
      <c r="G79" s="5" t="s">
        <v>154</v>
      </c>
      <c r="H79" s="7">
        <v>1022</v>
      </c>
      <c r="I79" s="6" t="s">
        <v>15</v>
      </c>
    </row>
    <row r="80" spans="1:9" x14ac:dyDescent="0.25">
      <c r="A80" s="2" t="s">
        <v>241</v>
      </c>
      <c r="B80" s="2" t="s">
        <v>235</v>
      </c>
      <c r="C80" s="2" t="s">
        <v>236</v>
      </c>
      <c r="D80" s="3" t="s">
        <v>237</v>
      </c>
      <c r="E80" s="3">
        <v>3</v>
      </c>
      <c r="F80" s="2" t="s">
        <v>242</v>
      </c>
      <c r="G80" s="2" t="s">
        <v>243</v>
      </c>
      <c r="H80" s="4">
        <v>345</v>
      </c>
      <c r="I80" s="3" t="s">
        <v>15</v>
      </c>
    </row>
    <row r="81" spans="1:9" x14ac:dyDescent="0.25">
      <c r="A81" s="5" t="s">
        <v>244</v>
      </c>
      <c r="B81" s="5" t="s">
        <v>235</v>
      </c>
      <c r="C81" s="5" t="s">
        <v>236</v>
      </c>
      <c r="D81" s="6" t="s">
        <v>237</v>
      </c>
      <c r="E81" s="6">
        <v>4</v>
      </c>
      <c r="F81" s="5" t="s">
        <v>245</v>
      </c>
      <c r="G81" s="5" t="s">
        <v>246</v>
      </c>
      <c r="H81" s="7">
        <v>1734</v>
      </c>
      <c r="I81" s="6" t="s">
        <v>15</v>
      </c>
    </row>
    <row r="82" spans="1:9" x14ac:dyDescent="0.25">
      <c r="A82" s="2" t="s">
        <v>247</v>
      </c>
      <c r="B82" s="2" t="s">
        <v>235</v>
      </c>
      <c r="C82" s="2" t="s">
        <v>236</v>
      </c>
      <c r="D82" s="3" t="s">
        <v>237</v>
      </c>
      <c r="E82" s="3">
        <v>5</v>
      </c>
      <c r="F82" s="2" t="s">
        <v>248</v>
      </c>
      <c r="G82" s="2" t="s">
        <v>249</v>
      </c>
      <c r="H82" s="4">
        <v>93</v>
      </c>
      <c r="I82" s="3" t="s">
        <v>15</v>
      </c>
    </row>
    <row r="83" spans="1:9" x14ac:dyDescent="0.25">
      <c r="A83" s="5" t="s">
        <v>250</v>
      </c>
      <c r="B83" s="5" t="s">
        <v>235</v>
      </c>
      <c r="C83" s="5" t="s">
        <v>236</v>
      </c>
      <c r="D83" s="6" t="s">
        <v>237</v>
      </c>
      <c r="E83" s="6">
        <v>6</v>
      </c>
      <c r="F83" s="5" t="s">
        <v>251</v>
      </c>
      <c r="G83" s="5" t="s">
        <v>252</v>
      </c>
      <c r="H83" s="7">
        <v>7080</v>
      </c>
      <c r="I83" s="6" t="s">
        <v>15</v>
      </c>
    </row>
    <row r="84" spans="1:9" x14ac:dyDescent="0.25">
      <c r="A84" s="2" t="s">
        <v>253</v>
      </c>
      <c r="B84" s="2" t="s">
        <v>235</v>
      </c>
      <c r="C84" s="2" t="s">
        <v>236</v>
      </c>
      <c r="D84" s="3" t="s">
        <v>237</v>
      </c>
      <c r="E84" s="3">
        <v>7</v>
      </c>
      <c r="F84" s="2" t="s">
        <v>254</v>
      </c>
      <c r="G84" s="2" t="s">
        <v>80</v>
      </c>
      <c r="H84" s="4">
        <v>2127</v>
      </c>
      <c r="I84" s="3" t="s">
        <v>15</v>
      </c>
    </row>
    <row r="85" spans="1:9" x14ac:dyDescent="0.25">
      <c r="A85" s="5" t="s">
        <v>255</v>
      </c>
      <c r="B85" s="5" t="s">
        <v>235</v>
      </c>
      <c r="C85" s="5" t="s">
        <v>236</v>
      </c>
      <c r="D85" s="6" t="s">
        <v>237</v>
      </c>
      <c r="E85" s="6">
        <v>8</v>
      </c>
      <c r="F85" s="5" t="s">
        <v>256</v>
      </c>
      <c r="G85" s="5" t="s">
        <v>182</v>
      </c>
      <c r="H85" s="7">
        <v>537</v>
      </c>
      <c r="I85" s="6" t="s">
        <v>15</v>
      </c>
    </row>
    <row r="86" spans="1:9" x14ac:dyDescent="0.25">
      <c r="A86" s="2" t="s">
        <v>257</v>
      </c>
      <c r="B86" s="2" t="s">
        <v>235</v>
      </c>
      <c r="C86" s="2" t="s">
        <v>236</v>
      </c>
      <c r="D86" s="3" t="s">
        <v>237</v>
      </c>
      <c r="E86" s="3">
        <v>9</v>
      </c>
      <c r="F86" s="2" t="s">
        <v>258</v>
      </c>
      <c r="G86" s="2" t="s">
        <v>14</v>
      </c>
      <c r="H86" s="4">
        <v>637</v>
      </c>
      <c r="I86" s="3" t="s">
        <v>15</v>
      </c>
    </row>
    <row r="87" spans="1:9" x14ac:dyDescent="0.25">
      <c r="A87" s="5" t="s">
        <v>259</v>
      </c>
      <c r="B87" s="5" t="s">
        <v>235</v>
      </c>
      <c r="C87" s="5" t="s">
        <v>236</v>
      </c>
      <c r="D87" s="6" t="s">
        <v>237</v>
      </c>
      <c r="E87" s="6">
        <v>10</v>
      </c>
      <c r="F87" s="5" t="s">
        <v>260</v>
      </c>
      <c r="G87" s="5" t="s">
        <v>18</v>
      </c>
      <c r="H87" s="7">
        <v>19727</v>
      </c>
      <c r="I87" s="6" t="s">
        <v>15</v>
      </c>
    </row>
    <row r="88" spans="1:9" x14ac:dyDescent="0.25">
      <c r="A88" s="2" t="s">
        <v>261</v>
      </c>
      <c r="B88" s="2" t="s">
        <v>235</v>
      </c>
      <c r="C88" s="2" t="s">
        <v>236</v>
      </c>
      <c r="D88" s="3" t="s">
        <v>237</v>
      </c>
      <c r="E88" s="3">
        <v>11</v>
      </c>
      <c r="F88" s="2" t="s">
        <v>262</v>
      </c>
      <c r="G88" s="2" t="s">
        <v>43</v>
      </c>
      <c r="H88" s="4">
        <v>2973</v>
      </c>
      <c r="I88" s="3" t="s">
        <v>15</v>
      </c>
    </row>
    <row r="89" spans="1:9" x14ac:dyDescent="0.25">
      <c r="A89" s="5" t="s">
        <v>263</v>
      </c>
      <c r="B89" s="5" t="s">
        <v>235</v>
      </c>
      <c r="C89" s="5" t="s">
        <v>236</v>
      </c>
      <c r="D89" s="6" t="s">
        <v>237</v>
      </c>
      <c r="E89" s="6">
        <v>12</v>
      </c>
      <c r="F89" s="5" t="s">
        <v>264</v>
      </c>
      <c r="G89" s="5" t="s">
        <v>37</v>
      </c>
      <c r="H89" s="7">
        <v>1608</v>
      </c>
      <c r="I89" s="6" t="s">
        <v>15</v>
      </c>
    </row>
    <row r="90" spans="1:9" x14ac:dyDescent="0.25">
      <c r="A90" s="2" t="s">
        <v>265</v>
      </c>
      <c r="B90" s="2" t="s">
        <v>235</v>
      </c>
      <c r="C90" s="2" t="s">
        <v>236</v>
      </c>
      <c r="D90" s="3" t="s">
        <v>237</v>
      </c>
      <c r="E90" s="3">
        <v>13</v>
      </c>
      <c r="F90" s="2" t="s">
        <v>266</v>
      </c>
      <c r="G90" s="2" t="s">
        <v>267</v>
      </c>
      <c r="H90" s="4">
        <v>300</v>
      </c>
      <c r="I90" s="3" t="s">
        <v>15</v>
      </c>
    </row>
    <row r="91" spans="1:9" x14ac:dyDescent="0.25">
      <c r="A91" s="5" t="s">
        <v>268</v>
      </c>
      <c r="B91" s="5" t="s">
        <v>235</v>
      </c>
      <c r="C91" s="5" t="s">
        <v>236</v>
      </c>
      <c r="D91" s="6" t="s">
        <v>237</v>
      </c>
      <c r="E91" s="6">
        <v>14</v>
      </c>
      <c r="F91" s="5" t="s">
        <v>269</v>
      </c>
      <c r="G91" s="5" t="s">
        <v>21</v>
      </c>
      <c r="H91" s="7">
        <v>482</v>
      </c>
      <c r="I91" s="6" t="s">
        <v>15</v>
      </c>
    </row>
    <row r="92" spans="1:9" x14ac:dyDescent="0.25">
      <c r="A92" s="8" t="s">
        <v>270</v>
      </c>
      <c r="B92" s="8" t="s">
        <v>235</v>
      </c>
      <c r="C92" s="8" t="s">
        <v>236</v>
      </c>
      <c r="D92" s="9" t="s">
        <v>237</v>
      </c>
      <c r="E92" s="9">
        <v>15</v>
      </c>
      <c r="F92" s="8" t="s">
        <v>271</v>
      </c>
      <c r="G92" s="8" t="s">
        <v>272</v>
      </c>
      <c r="H92" s="10">
        <v>42201</v>
      </c>
      <c r="I92" s="9" t="s">
        <v>25</v>
      </c>
    </row>
    <row r="93" spans="1:9" x14ac:dyDescent="0.25">
      <c r="A93" s="5" t="s">
        <v>273</v>
      </c>
      <c r="B93" s="5" t="s">
        <v>235</v>
      </c>
      <c r="C93" s="5" t="s">
        <v>236</v>
      </c>
      <c r="D93" s="6" t="s">
        <v>237</v>
      </c>
      <c r="E93" s="6">
        <v>16</v>
      </c>
      <c r="F93" s="5" t="s">
        <v>274</v>
      </c>
      <c r="G93" s="5" t="s">
        <v>275</v>
      </c>
      <c r="H93" s="7">
        <v>17708</v>
      </c>
      <c r="I93" s="6" t="s">
        <v>15</v>
      </c>
    </row>
    <row r="94" spans="1:9" x14ac:dyDescent="0.25">
      <c r="A94" s="2" t="s">
        <v>276</v>
      </c>
      <c r="B94" s="2" t="s">
        <v>277</v>
      </c>
      <c r="C94" s="2" t="s">
        <v>236</v>
      </c>
      <c r="D94" s="3" t="s">
        <v>278</v>
      </c>
      <c r="E94" s="3">
        <v>1</v>
      </c>
      <c r="F94" s="2" t="s">
        <v>279</v>
      </c>
      <c r="G94" s="2" t="s">
        <v>249</v>
      </c>
      <c r="H94" s="4">
        <v>1245</v>
      </c>
      <c r="I94" s="3" t="s">
        <v>15</v>
      </c>
    </row>
    <row r="95" spans="1:9" x14ac:dyDescent="0.25">
      <c r="A95" s="8" t="s">
        <v>280</v>
      </c>
      <c r="B95" s="8" t="s">
        <v>277</v>
      </c>
      <c r="C95" s="8" t="s">
        <v>236</v>
      </c>
      <c r="D95" s="9" t="s">
        <v>278</v>
      </c>
      <c r="E95" s="9">
        <v>2</v>
      </c>
      <c r="F95" s="8" t="s">
        <v>281</v>
      </c>
      <c r="G95" s="8" t="s">
        <v>282</v>
      </c>
      <c r="H95" s="10">
        <v>318656</v>
      </c>
      <c r="I95" s="9" t="s">
        <v>25</v>
      </c>
    </row>
    <row r="96" spans="1:9" x14ac:dyDescent="0.25">
      <c r="A96" s="2" t="s">
        <v>283</v>
      </c>
      <c r="B96" s="2" t="s">
        <v>277</v>
      </c>
      <c r="C96" s="2" t="s">
        <v>236</v>
      </c>
      <c r="D96" s="3" t="s">
        <v>278</v>
      </c>
      <c r="E96" s="3">
        <v>3</v>
      </c>
      <c r="F96" s="2" t="s">
        <v>284</v>
      </c>
      <c r="G96" s="2" t="s">
        <v>285</v>
      </c>
      <c r="H96" s="4">
        <v>1947</v>
      </c>
      <c r="I96" s="3" t="s">
        <v>15</v>
      </c>
    </row>
    <row r="97" spans="1:9" x14ac:dyDescent="0.25">
      <c r="A97" s="5" t="s">
        <v>286</v>
      </c>
      <c r="B97" s="5" t="s">
        <v>277</v>
      </c>
      <c r="C97" s="5" t="s">
        <v>236</v>
      </c>
      <c r="D97" s="6" t="s">
        <v>278</v>
      </c>
      <c r="E97" s="6">
        <v>4</v>
      </c>
      <c r="F97" s="5" t="s">
        <v>287</v>
      </c>
      <c r="G97" s="5" t="s">
        <v>288</v>
      </c>
      <c r="H97" s="7">
        <v>5380</v>
      </c>
      <c r="I97" s="6" t="s">
        <v>15</v>
      </c>
    </row>
    <row r="98" spans="1:9" x14ac:dyDescent="0.25">
      <c r="A98" s="2" t="s">
        <v>289</v>
      </c>
      <c r="B98" s="2" t="s">
        <v>277</v>
      </c>
      <c r="C98" s="2" t="s">
        <v>236</v>
      </c>
      <c r="D98" s="3" t="s">
        <v>278</v>
      </c>
      <c r="E98" s="3">
        <v>5</v>
      </c>
      <c r="F98" s="2" t="s">
        <v>290</v>
      </c>
      <c r="G98" s="2" t="s">
        <v>291</v>
      </c>
      <c r="H98" s="4">
        <v>34529</v>
      </c>
      <c r="I98" s="3" t="s">
        <v>15</v>
      </c>
    </row>
    <row r="99" spans="1:9" x14ac:dyDescent="0.25">
      <c r="A99" s="5" t="s">
        <v>292</v>
      </c>
      <c r="B99" s="5" t="s">
        <v>277</v>
      </c>
      <c r="C99" s="5" t="s">
        <v>236</v>
      </c>
      <c r="D99" s="6" t="s">
        <v>278</v>
      </c>
      <c r="E99" s="6">
        <v>6</v>
      </c>
      <c r="F99" s="5" t="s">
        <v>293</v>
      </c>
      <c r="G99" s="5" t="s">
        <v>80</v>
      </c>
      <c r="H99" s="7">
        <v>19151</v>
      </c>
      <c r="I99" s="6" t="s">
        <v>15</v>
      </c>
    </row>
    <row r="100" spans="1:9" x14ac:dyDescent="0.25">
      <c r="A100" s="2" t="s">
        <v>294</v>
      </c>
      <c r="B100" s="2" t="s">
        <v>277</v>
      </c>
      <c r="C100" s="2" t="s">
        <v>236</v>
      </c>
      <c r="D100" s="3" t="s">
        <v>278</v>
      </c>
      <c r="E100" s="3">
        <v>7</v>
      </c>
      <c r="F100" s="2" t="s">
        <v>295</v>
      </c>
      <c r="G100" s="2" t="s">
        <v>296</v>
      </c>
      <c r="H100" s="4">
        <v>221038</v>
      </c>
      <c r="I100" s="3" t="s">
        <v>15</v>
      </c>
    </row>
    <row r="101" spans="1:9" x14ac:dyDescent="0.25">
      <c r="A101" s="5" t="s">
        <v>297</v>
      </c>
      <c r="B101" s="5" t="s">
        <v>277</v>
      </c>
      <c r="C101" s="5" t="s">
        <v>236</v>
      </c>
      <c r="D101" s="6" t="s">
        <v>278</v>
      </c>
      <c r="E101" s="6">
        <v>8</v>
      </c>
      <c r="F101" s="5" t="s">
        <v>298</v>
      </c>
      <c r="G101" s="5" t="s">
        <v>40</v>
      </c>
      <c r="H101" s="7">
        <v>4109</v>
      </c>
      <c r="I101" s="6" t="s">
        <v>15</v>
      </c>
    </row>
    <row r="102" spans="1:9" x14ac:dyDescent="0.25">
      <c r="A102" s="2" t="s">
        <v>299</v>
      </c>
      <c r="B102" s="2" t="s">
        <v>277</v>
      </c>
      <c r="C102" s="2" t="s">
        <v>236</v>
      </c>
      <c r="D102" s="3" t="s">
        <v>278</v>
      </c>
      <c r="E102" s="3">
        <v>9</v>
      </c>
      <c r="F102" s="2" t="s">
        <v>300</v>
      </c>
      <c r="G102" s="2" t="s">
        <v>301</v>
      </c>
      <c r="H102" s="4">
        <v>86853</v>
      </c>
      <c r="I102" s="3" t="s">
        <v>15</v>
      </c>
    </row>
    <row r="103" spans="1:9" x14ac:dyDescent="0.25">
      <c r="A103" s="5" t="s">
        <v>302</v>
      </c>
      <c r="B103" s="5" t="s">
        <v>277</v>
      </c>
      <c r="C103" s="5" t="s">
        <v>236</v>
      </c>
      <c r="D103" s="6" t="s">
        <v>278</v>
      </c>
      <c r="E103" s="6">
        <v>10</v>
      </c>
      <c r="F103" s="5" t="s">
        <v>303</v>
      </c>
      <c r="G103" s="5" t="s">
        <v>154</v>
      </c>
      <c r="H103" s="7">
        <v>11067</v>
      </c>
      <c r="I103" s="6" t="s">
        <v>15</v>
      </c>
    </row>
    <row r="104" spans="1:9" x14ac:dyDescent="0.25">
      <c r="A104" s="2" t="s">
        <v>304</v>
      </c>
      <c r="B104" s="2" t="s">
        <v>305</v>
      </c>
      <c r="C104" s="2" t="s">
        <v>306</v>
      </c>
      <c r="D104" s="3" t="s">
        <v>307</v>
      </c>
      <c r="E104" s="3">
        <v>1</v>
      </c>
      <c r="F104" s="2" t="s">
        <v>308</v>
      </c>
      <c r="G104" s="2" t="s">
        <v>99</v>
      </c>
      <c r="H104" s="4">
        <v>1173</v>
      </c>
      <c r="I104" s="3" t="s">
        <v>15</v>
      </c>
    </row>
    <row r="105" spans="1:9" x14ac:dyDescent="0.25">
      <c r="A105" s="5" t="s">
        <v>309</v>
      </c>
      <c r="B105" s="5" t="s">
        <v>305</v>
      </c>
      <c r="C105" s="5" t="s">
        <v>306</v>
      </c>
      <c r="D105" s="6" t="s">
        <v>307</v>
      </c>
      <c r="E105" s="6">
        <v>2</v>
      </c>
      <c r="F105" s="5" t="s">
        <v>310</v>
      </c>
      <c r="G105" s="5" t="s">
        <v>311</v>
      </c>
      <c r="H105" s="7">
        <v>35885</v>
      </c>
      <c r="I105" s="6" t="s">
        <v>15</v>
      </c>
    </row>
    <row r="106" spans="1:9" x14ac:dyDescent="0.25">
      <c r="A106" s="2" t="s">
        <v>312</v>
      </c>
      <c r="B106" s="2" t="s">
        <v>305</v>
      </c>
      <c r="C106" s="2" t="s">
        <v>306</v>
      </c>
      <c r="D106" s="3" t="s">
        <v>307</v>
      </c>
      <c r="E106" s="3">
        <v>3</v>
      </c>
      <c r="F106" s="2" t="s">
        <v>313</v>
      </c>
      <c r="G106" s="2" t="s">
        <v>71</v>
      </c>
      <c r="H106" s="4">
        <v>5786</v>
      </c>
      <c r="I106" s="3" t="s">
        <v>15</v>
      </c>
    </row>
    <row r="107" spans="1:9" x14ac:dyDescent="0.25">
      <c r="A107" s="5" t="s">
        <v>314</v>
      </c>
      <c r="B107" s="5" t="s">
        <v>305</v>
      </c>
      <c r="C107" s="5" t="s">
        <v>306</v>
      </c>
      <c r="D107" s="6" t="s">
        <v>307</v>
      </c>
      <c r="E107" s="6">
        <v>4</v>
      </c>
      <c r="F107" s="5" t="s">
        <v>315</v>
      </c>
      <c r="G107" s="5" t="s">
        <v>40</v>
      </c>
      <c r="H107" s="7">
        <v>2753</v>
      </c>
      <c r="I107" s="6" t="s">
        <v>15</v>
      </c>
    </row>
    <row r="108" spans="1:9" x14ac:dyDescent="0.25">
      <c r="A108" s="2" t="s">
        <v>316</v>
      </c>
      <c r="B108" s="2" t="s">
        <v>305</v>
      </c>
      <c r="C108" s="2" t="s">
        <v>306</v>
      </c>
      <c r="D108" s="3" t="s">
        <v>307</v>
      </c>
      <c r="E108" s="3">
        <v>5</v>
      </c>
      <c r="F108" s="2" t="s">
        <v>317</v>
      </c>
      <c r="G108" s="2" t="s">
        <v>126</v>
      </c>
      <c r="H108" s="4">
        <v>3188</v>
      </c>
      <c r="I108" s="3" t="s">
        <v>15</v>
      </c>
    </row>
    <row r="109" spans="1:9" x14ac:dyDescent="0.25">
      <c r="A109" s="5" t="s">
        <v>318</v>
      </c>
      <c r="B109" s="5" t="s">
        <v>305</v>
      </c>
      <c r="C109" s="5" t="s">
        <v>306</v>
      </c>
      <c r="D109" s="6" t="s">
        <v>307</v>
      </c>
      <c r="E109" s="6">
        <v>6</v>
      </c>
      <c r="F109" s="5" t="s">
        <v>319</v>
      </c>
      <c r="G109" s="5" t="s">
        <v>320</v>
      </c>
      <c r="H109" s="7">
        <v>1579</v>
      </c>
      <c r="I109" s="6" t="s">
        <v>15</v>
      </c>
    </row>
    <row r="110" spans="1:9" x14ac:dyDescent="0.25">
      <c r="A110" s="2" t="s">
        <v>321</v>
      </c>
      <c r="B110" s="2" t="s">
        <v>305</v>
      </c>
      <c r="C110" s="2" t="s">
        <v>306</v>
      </c>
      <c r="D110" s="3" t="s">
        <v>307</v>
      </c>
      <c r="E110" s="3">
        <v>7</v>
      </c>
      <c r="F110" s="2" t="s">
        <v>322</v>
      </c>
      <c r="G110" s="2" t="s">
        <v>14</v>
      </c>
      <c r="H110" s="4">
        <v>4676</v>
      </c>
      <c r="I110" s="3" t="s">
        <v>15</v>
      </c>
    </row>
    <row r="111" spans="1:9" x14ac:dyDescent="0.25">
      <c r="A111" s="5" t="s">
        <v>323</v>
      </c>
      <c r="B111" s="5" t="s">
        <v>305</v>
      </c>
      <c r="C111" s="5" t="s">
        <v>306</v>
      </c>
      <c r="D111" s="6" t="s">
        <v>307</v>
      </c>
      <c r="E111" s="6">
        <v>8</v>
      </c>
      <c r="F111" s="5" t="s">
        <v>324</v>
      </c>
      <c r="G111" s="5" t="s">
        <v>63</v>
      </c>
      <c r="H111" s="7">
        <v>1879</v>
      </c>
      <c r="I111" s="6" t="s">
        <v>15</v>
      </c>
    </row>
    <row r="112" spans="1:9" x14ac:dyDescent="0.25">
      <c r="A112" s="2" t="s">
        <v>325</v>
      </c>
      <c r="B112" s="2" t="s">
        <v>305</v>
      </c>
      <c r="C112" s="2" t="s">
        <v>306</v>
      </c>
      <c r="D112" s="3" t="s">
        <v>307</v>
      </c>
      <c r="E112" s="3">
        <v>9</v>
      </c>
      <c r="F112" s="2" t="s">
        <v>326</v>
      </c>
      <c r="G112" s="2" t="s">
        <v>154</v>
      </c>
      <c r="H112" s="4">
        <v>23662</v>
      </c>
      <c r="I112" s="3" t="s">
        <v>15</v>
      </c>
    </row>
    <row r="113" spans="1:9" x14ac:dyDescent="0.25">
      <c r="A113" s="5" t="s">
        <v>327</v>
      </c>
      <c r="B113" s="5" t="s">
        <v>305</v>
      </c>
      <c r="C113" s="5" t="s">
        <v>306</v>
      </c>
      <c r="D113" s="6" t="s">
        <v>307</v>
      </c>
      <c r="E113" s="6">
        <v>10</v>
      </c>
      <c r="F113" s="5" t="s">
        <v>328</v>
      </c>
      <c r="G113" s="5" t="s">
        <v>227</v>
      </c>
      <c r="H113" s="7">
        <v>56893</v>
      </c>
      <c r="I113" s="6" t="s">
        <v>15</v>
      </c>
    </row>
    <row r="114" spans="1:9" x14ac:dyDescent="0.25">
      <c r="A114" s="2" t="s">
        <v>329</v>
      </c>
      <c r="B114" s="2" t="s">
        <v>305</v>
      </c>
      <c r="C114" s="2" t="s">
        <v>306</v>
      </c>
      <c r="D114" s="3" t="s">
        <v>307</v>
      </c>
      <c r="E114" s="3">
        <v>11</v>
      </c>
      <c r="F114" s="2" t="s">
        <v>330</v>
      </c>
      <c r="G114" s="2" t="s">
        <v>331</v>
      </c>
      <c r="H114" s="4">
        <v>38016</v>
      </c>
      <c r="I114" s="3" t="s">
        <v>15</v>
      </c>
    </row>
    <row r="115" spans="1:9" x14ac:dyDescent="0.25">
      <c r="A115" s="8" t="s">
        <v>332</v>
      </c>
      <c r="B115" s="8" t="s">
        <v>305</v>
      </c>
      <c r="C115" s="8" t="s">
        <v>306</v>
      </c>
      <c r="D115" s="9" t="s">
        <v>307</v>
      </c>
      <c r="E115" s="9">
        <v>12</v>
      </c>
      <c r="F115" s="8" t="s">
        <v>333</v>
      </c>
      <c r="G115" s="8" t="s">
        <v>334</v>
      </c>
      <c r="H115" s="10">
        <v>160548</v>
      </c>
      <c r="I115" s="9" t="s">
        <v>25</v>
      </c>
    </row>
    <row r="116" spans="1:9" x14ac:dyDescent="0.25">
      <c r="A116" s="2" t="s">
        <v>335</v>
      </c>
      <c r="B116" s="2" t="s">
        <v>336</v>
      </c>
      <c r="C116" s="2" t="s">
        <v>337</v>
      </c>
      <c r="D116" s="3" t="s">
        <v>338</v>
      </c>
      <c r="E116" s="3">
        <v>1</v>
      </c>
      <c r="F116" s="2" t="s">
        <v>339</v>
      </c>
      <c r="G116" s="2" t="s">
        <v>63</v>
      </c>
      <c r="H116" s="4">
        <v>1521</v>
      </c>
      <c r="I116" s="3" t="s">
        <v>15</v>
      </c>
    </row>
    <row r="117" spans="1:9" x14ac:dyDescent="0.25">
      <c r="A117" s="5" t="s">
        <v>340</v>
      </c>
      <c r="B117" s="5" t="s">
        <v>336</v>
      </c>
      <c r="C117" s="5" t="s">
        <v>337</v>
      </c>
      <c r="D117" s="6" t="s">
        <v>338</v>
      </c>
      <c r="E117" s="6">
        <v>2</v>
      </c>
      <c r="F117" s="5" t="s">
        <v>341</v>
      </c>
      <c r="G117" s="5" t="s">
        <v>43</v>
      </c>
      <c r="H117" s="7">
        <v>5387</v>
      </c>
      <c r="I117" s="6" t="s">
        <v>15</v>
      </c>
    </row>
    <row r="118" spans="1:9" x14ac:dyDescent="0.25">
      <c r="A118" s="2" t="s">
        <v>342</v>
      </c>
      <c r="B118" s="2" t="s">
        <v>336</v>
      </c>
      <c r="C118" s="2" t="s">
        <v>337</v>
      </c>
      <c r="D118" s="3" t="s">
        <v>338</v>
      </c>
      <c r="E118" s="3">
        <v>3</v>
      </c>
      <c r="F118" s="2" t="s">
        <v>343</v>
      </c>
      <c r="G118" s="2" t="s">
        <v>126</v>
      </c>
      <c r="H118" s="4">
        <v>1365</v>
      </c>
      <c r="I118" s="3" t="s">
        <v>15</v>
      </c>
    </row>
    <row r="119" spans="1:9" x14ac:dyDescent="0.25">
      <c r="A119" s="5" t="s">
        <v>344</v>
      </c>
      <c r="B119" s="5" t="s">
        <v>336</v>
      </c>
      <c r="C119" s="5" t="s">
        <v>337</v>
      </c>
      <c r="D119" s="6" t="s">
        <v>338</v>
      </c>
      <c r="E119" s="6">
        <v>4</v>
      </c>
      <c r="F119" s="5" t="s">
        <v>345</v>
      </c>
      <c r="G119" s="5" t="s">
        <v>160</v>
      </c>
      <c r="H119" s="7">
        <v>3388</v>
      </c>
      <c r="I119" s="6" t="s">
        <v>15</v>
      </c>
    </row>
    <row r="120" spans="1:9" x14ac:dyDescent="0.25">
      <c r="A120" s="2" t="s">
        <v>346</v>
      </c>
      <c r="B120" s="2" t="s">
        <v>336</v>
      </c>
      <c r="C120" s="2" t="s">
        <v>337</v>
      </c>
      <c r="D120" s="3" t="s">
        <v>338</v>
      </c>
      <c r="E120" s="3">
        <v>5</v>
      </c>
      <c r="F120" s="2" t="s">
        <v>347</v>
      </c>
      <c r="G120" s="2" t="s">
        <v>348</v>
      </c>
      <c r="H120" s="4">
        <v>5790</v>
      </c>
      <c r="I120" s="3" t="s">
        <v>15</v>
      </c>
    </row>
    <row r="121" spans="1:9" x14ac:dyDescent="0.25">
      <c r="A121" s="5" t="s">
        <v>349</v>
      </c>
      <c r="B121" s="5" t="s">
        <v>336</v>
      </c>
      <c r="C121" s="5" t="s">
        <v>337</v>
      </c>
      <c r="D121" s="6" t="s">
        <v>338</v>
      </c>
      <c r="E121" s="6">
        <v>6</v>
      </c>
      <c r="F121" s="5" t="s">
        <v>350</v>
      </c>
      <c r="G121" s="5" t="s">
        <v>154</v>
      </c>
      <c r="H121" s="7">
        <v>9301</v>
      </c>
      <c r="I121" s="6" t="s">
        <v>15</v>
      </c>
    </row>
    <row r="122" spans="1:9" x14ac:dyDescent="0.25">
      <c r="A122" s="2" t="s">
        <v>351</v>
      </c>
      <c r="B122" s="2" t="s">
        <v>336</v>
      </c>
      <c r="C122" s="2" t="s">
        <v>337</v>
      </c>
      <c r="D122" s="3" t="s">
        <v>338</v>
      </c>
      <c r="E122" s="3">
        <v>7</v>
      </c>
      <c r="F122" s="2" t="s">
        <v>352</v>
      </c>
      <c r="G122" s="2" t="s">
        <v>80</v>
      </c>
      <c r="H122" s="4">
        <v>15856</v>
      </c>
      <c r="I122" s="3" t="s">
        <v>15</v>
      </c>
    </row>
    <row r="123" spans="1:9" x14ac:dyDescent="0.25">
      <c r="A123" s="5" t="s">
        <v>353</v>
      </c>
      <c r="B123" s="5" t="s">
        <v>336</v>
      </c>
      <c r="C123" s="5" t="s">
        <v>337</v>
      </c>
      <c r="D123" s="6" t="s">
        <v>338</v>
      </c>
      <c r="E123" s="6">
        <v>8</v>
      </c>
      <c r="F123" s="5" t="s">
        <v>354</v>
      </c>
      <c r="G123" s="5" t="s">
        <v>34</v>
      </c>
      <c r="H123" s="7">
        <v>2382</v>
      </c>
      <c r="I123" s="6" t="s">
        <v>15</v>
      </c>
    </row>
    <row r="124" spans="1:9" x14ac:dyDescent="0.25">
      <c r="A124" s="2" t="s">
        <v>355</v>
      </c>
      <c r="B124" s="2" t="s">
        <v>336</v>
      </c>
      <c r="C124" s="2" t="s">
        <v>337</v>
      </c>
      <c r="D124" s="3" t="s">
        <v>338</v>
      </c>
      <c r="E124" s="3">
        <v>9</v>
      </c>
      <c r="F124" s="2" t="s">
        <v>356</v>
      </c>
      <c r="G124" s="2" t="s">
        <v>252</v>
      </c>
      <c r="H124" s="4">
        <v>6144</v>
      </c>
      <c r="I124" s="3" t="s">
        <v>15</v>
      </c>
    </row>
    <row r="125" spans="1:9" x14ac:dyDescent="0.25">
      <c r="A125" s="5" t="s">
        <v>357</v>
      </c>
      <c r="B125" s="5" t="s">
        <v>336</v>
      </c>
      <c r="C125" s="5" t="s">
        <v>337</v>
      </c>
      <c r="D125" s="6" t="s">
        <v>338</v>
      </c>
      <c r="E125" s="6">
        <v>10</v>
      </c>
      <c r="F125" s="5" t="s">
        <v>358</v>
      </c>
      <c r="G125" s="5" t="s">
        <v>359</v>
      </c>
      <c r="H125" s="7">
        <v>44292</v>
      </c>
      <c r="I125" s="6" t="s">
        <v>15</v>
      </c>
    </row>
    <row r="126" spans="1:9" x14ac:dyDescent="0.25">
      <c r="A126" s="8" t="s">
        <v>360</v>
      </c>
      <c r="B126" s="8" t="s">
        <v>336</v>
      </c>
      <c r="C126" s="8" t="s">
        <v>337</v>
      </c>
      <c r="D126" s="9" t="s">
        <v>338</v>
      </c>
      <c r="E126" s="9">
        <v>11</v>
      </c>
      <c r="F126" s="8" t="s">
        <v>361</v>
      </c>
      <c r="G126" s="8" t="s">
        <v>362</v>
      </c>
      <c r="H126" s="10">
        <v>89753</v>
      </c>
      <c r="I126" s="9" t="s">
        <v>25</v>
      </c>
    </row>
    <row r="127" spans="1:9" x14ac:dyDescent="0.25">
      <c r="A127" s="5" t="s">
        <v>363</v>
      </c>
      <c r="B127" s="5" t="s">
        <v>336</v>
      </c>
      <c r="C127" s="5" t="s">
        <v>337</v>
      </c>
      <c r="D127" s="6" t="s">
        <v>338</v>
      </c>
      <c r="E127" s="6">
        <v>12</v>
      </c>
      <c r="F127" s="5" t="s">
        <v>364</v>
      </c>
      <c r="G127" s="5" t="s">
        <v>365</v>
      </c>
      <c r="H127" s="7">
        <v>11926</v>
      </c>
      <c r="I127" s="6" t="s">
        <v>15</v>
      </c>
    </row>
    <row r="128" spans="1:9" x14ac:dyDescent="0.25">
      <c r="A128" s="2" t="s">
        <v>366</v>
      </c>
      <c r="B128" s="2" t="s">
        <v>336</v>
      </c>
      <c r="C128" s="2" t="s">
        <v>337</v>
      </c>
      <c r="D128" s="3" t="s">
        <v>338</v>
      </c>
      <c r="E128" s="3">
        <v>13</v>
      </c>
      <c r="F128" s="2" t="s">
        <v>367</v>
      </c>
      <c r="G128" s="2" t="s">
        <v>368</v>
      </c>
      <c r="H128" s="4">
        <v>87424</v>
      </c>
      <c r="I128" s="3" t="s">
        <v>15</v>
      </c>
    </row>
    <row r="129" spans="1:9" x14ac:dyDescent="0.25">
      <c r="A129" s="5" t="s">
        <v>369</v>
      </c>
      <c r="B129" s="5" t="s">
        <v>336</v>
      </c>
      <c r="C129" s="5" t="s">
        <v>337</v>
      </c>
      <c r="D129" s="6" t="s">
        <v>338</v>
      </c>
      <c r="E129" s="6">
        <v>14</v>
      </c>
      <c r="F129" s="5" t="s">
        <v>370</v>
      </c>
      <c r="G129" s="5" t="s">
        <v>71</v>
      </c>
      <c r="H129" s="7">
        <v>12796</v>
      </c>
      <c r="I129" s="6" t="s">
        <v>15</v>
      </c>
    </row>
    <row r="130" spans="1:9" x14ac:dyDescent="0.25">
      <c r="A130" s="2" t="s">
        <v>371</v>
      </c>
      <c r="B130" s="2" t="s">
        <v>372</v>
      </c>
      <c r="C130" s="2" t="s">
        <v>373</v>
      </c>
      <c r="D130" s="3" t="s">
        <v>374</v>
      </c>
      <c r="E130" s="3">
        <v>1</v>
      </c>
      <c r="F130" s="2" t="s">
        <v>375</v>
      </c>
      <c r="G130" s="2" t="s">
        <v>376</v>
      </c>
      <c r="H130" s="4">
        <v>7585</v>
      </c>
      <c r="I130" s="3" t="s">
        <v>15</v>
      </c>
    </row>
    <row r="131" spans="1:9" x14ac:dyDescent="0.25">
      <c r="A131" s="5" t="s">
        <v>377</v>
      </c>
      <c r="B131" s="5" t="s">
        <v>372</v>
      </c>
      <c r="C131" s="5" t="s">
        <v>373</v>
      </c>
      <c r="D131" s="6" t="s">
        <v>374</v>
      </c>
      <c r="E131" s="6">
        <v>2</v>
      </c>
      <c r="F131" s="5" t="s">
        <v>378</v>
      </c>
      <c r="G131" s="5" t="s">
        <v>14</v>
      </c>
      <c r="H131" s="7">
        <v>824</v>
      </c>
      <c r="I131" s="6" t="s">
        <v>15</v>
      </c>
    </row>
    <row r="132" spans="1:9" x14ac:dyDescent="0.25">
      <c r="A132" s="8" t="s">
        <v>379</v>
      </c>
      <c r="B132" s="8" t="s">
        <v>372</v>
      </c>
      <c r="C132" s="8" t="s">
        <v>373</v>
      </c>
      <c r="D132" s="9" t="s">
        <v>374</v>
      </c>
      <c r="E132" s="9">
        <v>3</v>
      </c>
      <c r="F132" s="8" t="s">
        <v>380</v>
      </c>
      <c r="G132" s="8" t="s">
        <v>381</v>
      </c>
      <c r="H132" s="10">
        <v>24279</v>
      </c>
      <c r="I132" s="9" t="s">
        <v>25</v>
      </c>
    </row>
    <row r="133" spans="1:9" x14ac:dyDescent="0.25">
      <c r="A133" s="5" t="s">
        <v>382</v>
      </c>
      <c r="B133" s="5" t="s">
        <v>372</v>
      </c>
      <c r="C133" s="5" t="s">
        <v>373</v>
      </c>
      <c r="D133" s="6" t="s">
        <v>374</v>
      </c>
      <c r="E133" s="6">
        <v>4</v>
      </c>
      <c r="F133" s="5" t="s">
        <v>383</v>
      </c>
      <c r="G133" s="5" t="s">
        <v>384</v>
      </c>
      <c r="H133" s="7">
        <v>20402</v>
      </c>
      <c r="I133" s="6" t="s">
        <v>15</v>
      </c>
    </row>
    <row r="134" spans="1:9" x14ac:dyDescent="0.25">
      <c r="A134" s="2" t="s">
        <v>385</v>
      </c>
      <c r="B134" s="2" t="s">
        <v>372</v>
      </c>
      <c r="C134" s="2" t="s">
        <v>373</v>
      </c>
      <c r="D134" s="3" t="s">
        <v>374</v>
      </c>
      <c r="E134" s="3">
        <v>5</v>
      </c>
      <c r="F134" s="2" t="s">
        <v>386</v>
      </c>
      <c r="G134" s="2" t="s">
        <v>157</v>
      </c>
      <c r="H134" s="4">
        <v>23129</v>
      </c>
      <c r="I134" s="3" t="s">
        <v>15</v>
      </c>
    </row>
    <row r="135" spans="1:9" x14ac:dyDescent="0.25">
      <c r="A135" s="8" t="s">
        <v>387</v>
      </c>
      <c r="B135" s="8" t="s">
        <v>388</v>
      </c>
      <c r="C135" s="8" t="s">
        <v>11</v>
      </c>
      <c r="D135" s="9" t="s">
        <v>389</v>
      </c>
      <c r="E135" s="9">
        <v>1</v>
      </c>
      <c r="F135" s="8" t="s">
        <v>390</v>
      </c>
      <c r="G135" s="8" t="s">
        <v>391</v>
      </c>
      <c r="H135" s="10">
        <v>46865</v>
      </c>
      <c r="I135" s="9" t="s">
        <v>25</v>
      </c>
    </row>
    <row r="136" spans="1:9" x14ac:dyDescent="0.25">
      <c r="A136" s="2" t="s">
        <v>392</v>
      </c>
      <c r="B136" s="2" t="s">
        <v>388</v>
      </c>
      <c r="C136" s="2" t="s">
        <v>11</v>
      </c>
      <c r="D136" s="3" t="s">
        <v>389</v>
      </c>
      <c r="E136" s="3">
        <v>2</v>
      </c>
      <c r="F136" s="2" t="s">
        <v>393</v>
      </c>
      <c r="G136" s="2" t="s">
        <v>66</v>
      </c>
      <c r="H136" s="4">
        <v>27702</v>
      </c>
      <c r="I136" s="3" t="s">
        <v>15</v>
      </c>
    </row>
    <row r="137" spans="1:9" x14ac:dyDescent="0.25">
      <c r="A137" s="5" t="s">
        <v>394</v>
      </c>
      <c r="B137" s="5" t="s">
        <v>388</v>
      </c>
      <c r="C137" s="5" t="s">
        <v>11</v>
      </c>
      <c r="D137" s="6" t="s">
        <v>389</v>
      </c>
      <c r="E137" s="6">
        <v>3</v>
      </c>
      <c r="F137" s="5" t="s">
        <v>395</v>
      </c>
      <c r="G137" s="5" t="s">
        <v>71</v>
      </c>
      <c r="H137" s="7">
        <v>15288</v>
      </c>
      <c r="I137" s="6" t="s">
        <v>15</v>
      </c>
    </row>
    <row r="138" spans="1:9" x14ac:dyDescent="0.25">
      <c r="A138" s="2" t="s">
        <v>396</v>
      </c>
      <c r="B138" s="2" t="s">
        <v>388</v>
      </c>
      <c r="C138" s="2" t="s">
        <v>11</v>
      </c>
      <c r="D138" s="3" t="s">
        <v>389</v>
      </c>
      <c r="E138" s="3">
        <v>4</v>
      </c>
      <c r="F138" s="2" t="s">
        <v>397</v>
      </c>
      <c r="G138" s="2" t="s">
        <v>398</v>
      </c>
      <c r="H138" s="4">
        <v>11943</v>
      </c>
      <c r="I138" s="3" t="s">
        <v>15</v>
      </c>
    </row>
    <row r="139" spans="1:9" x14ac:dyDescent="0.25">
      <c r="A139" s="5" t="s">
        <v>399</v>
      </c>
      <c r="B139" s="5" t="s">
        <v>400</v>
      </c>
      <c r="C139" s="5" t="s">
        <v>91</v>
      </c>
      <c r="D139" s="6" t="s">
        <v>401</v>
      </c>
      <c r="E139" s="6">
        <v>1</v>
      </c>
      <c r="F139" s="5" t="s">
        <v>402</v>
      </c>
      <c r="G139" s="5" t="s">
        <v>249</v>
      </c>
      <c r="H139" s="7">
        <v>3</v>
      </c>
      <c r="I139" s="6" t="s">
        <v>15</v>
      </c>
    </row>
    <row r="140" spans="1:9" x14ac:dyDescent="0.25">
      <c r="A140" s="2" t="s">
        <v>403</v>
      </c>
      <c r="B140" s="2" t="s">
        <v>400</v>
      </c>
      <c r="C140" s="2" t="s">
        <v>91</v>
      </c>
      <c r="D140" s="3" t="s">
        <v>401</v>
      </c>
      <c r="E140" s="3">
        <v>2</v>
      </c>
      <c r="F140" s="2" t="s">
        <v>404</v>
      </c>
      <c r="G140" s="2" t="s">
        <v>405</v>
      </c>
      <c r="H140" s="4">
        <v>6165</v>
      </c>
      <c r="I140" s="3" t="s">
        <v>15</v>
      </c>
    </row>
    <row r="141" spans="1:9" x14ac:dyDescent="0.25">
      <c r="A141" s="5" t="s">
        <v>406</v>
      </c>
      <c r="B141" s="5" t="s">
        <v>400</v>
      </c>
      <c r="C141" s="5" t="s">
        <v>91</v>
      </c>
      <c r="D141" s="6" t="s">
        <v>401</v>
      </c>
      <c r="E141" s="6">
        <v>3</v>
      </c>
      <c r="F141" s="5" t="s">
        <v>407</v>
      </c>
      <c r="G141" s="5" t="s">
        <v>71</v>
      </c>
      <c r="H141" s="7">
        <v>3</v>
      </c>
      <c r="I141" s="6" t="s">
        <v>15</v>
      </c>
    </row>
    <row r="142" spans="1:9" x14ac:dyDescent="0.25">
      <c r="A142" s="8" t="s">
        <v>408</v>
      </c>
      <c r="B142" s="8" t="s">
        <v>400</v>
      </c>
      <c r="C142" s="8" t="s">
        <v>91</v>
      </c>
      <c r="D142" s="9" t="s">
        <v>401</v>
      </c>
      <c r="E142" s="9">
        <v>4</v>
      </c>
      <c r="F142" s="8" t="s">
        <v>409</v>
      </c>
      <c r="G142" s="8" t="s">
        <v>410</v>
      </c>
      <c r="H142" s="10">
        <v>54352</v>
      </c>
      <c r="I142" s="9" t="s">
        <v>25</v>
      </c>
    </row>
    <row r="143" spans="1:9" x14ac:dyDescent="0.25">
      <c r="A143" s="5" t="s">
        <v>411</v>
      </c>
      <c r="B143" s="5" t="s">
        <v>400</v>
      </c>
      <c r="C143" s="5" t="s">
        <v>91</v>
      </c>
      <c r="D143" s="6" t="s">
        <v>401</v>
      </c>
      <c r="E143" s="6">
        <v>5</v>
      </c>
      <c r="F143" s="5" t="s">
        <v>412</v>
      </c>
      <c r="G143" s="5" t="s">
        <v>63</v>
      </c>
      <c r="H143" s="7">
        <v>5</v>
      </c>
      <c r="I143" s="6" t="s">
        <v>15</v>
      </c>
    </row>
    <row r="144" spans="1:9" x14ac:dyDescent="0.25">
      <c r="A144" s="2" t="s">
        <v>413</v>
      </c>
      <c r="B144" s="2" t="s">
        <v>400</v>
      </c>
      <c r="C144" s="2" t="s">
        <v>91</v>
      </c>
      <c r="D144" s="3" t="s">
        <v>401</v>
      </c>
      <c r="E144" s="3">
        <v>6</v>
      </c>
      <c r="F144" s="2" t="s">
        <v>414</v>
      </c>
      <c r="G144" s="2" t="s">
        <v>144</v>
      </c>
      <c r="H144" s="4">
        <v>3322</v>
      </c>
      <c r="I144" s="3" t="s">
        <v>15</v>
      </c>
    </row>
    <row r="145" spans="1:9" x14ac:dyDescent="0.25">
      <c r="A145" s="5" t="s">
        <v>415</v>
      </c>
      <c r="B145" s="5" t="s">
        <v>400</v>
      </c>
      <c r="C145" s="5" t="s">
        <v>91</v>
      </c>
      <c r="D145" s="6" t="s">
        <v>401</v>
      </c>
      <c r="E145" s="6">
        <v>7</v>
      </c>
      <c r="F145" s="5" t="s">
        <v>416</v>
      </c>
      <c r="G145" s="5" t="s">
        <v>417</v>
      </c>
      <c r="H145" s="7">
        <v>13127</v>
      </c>
      <c r="I145" s="6" t="s">
        <v>15</v>
      </c>
    </row>
    <row r="146" spans="1:9" x14ac:dyDescent="0.25">
      <c r="A146" s="2" t="s">
        <v>418</v>
      </c>
      <c r="B146" s="2" t="s">
        <v>400</v>
      </c>
      <c r="C146" s="2" t="s">
        <v>91</v>
      </c>
      <c r="D146" s="3" t="s">
        <v>401</v>
      </c>
      <c r="E146" s="3">
        <v>8</v>
      </c>
      <c r="F146" s="2" t="s">
        <v>419</v>
      </c>
      <c r="G146" s="2" t="s">
        <v>66</v>
      </c>
      <c r="H146" s="4">
        <v>4321</v>
      </c>
      <c r="I146" s="3" t="s">
        <v>15</v>
      </c>
    </row>
    <row r="147" spans="1:9" x14ac:dyDescent="0.25">
      <c r="A147" s="5" t="s">
        <v>420</v>
      </c>
      <c r="B147" s="5" t="s">
        <v>400</v>
      </c>
      <c r="C147" s="5" t="s">
        <v>91</v>
      </c>
      <c r="D147" s="6" t="s">
        <v>401</v>
      </c>
      <c r="E147" s="6">
        <v>9</v>
      </c>
      <c r="F147" s="5" t="s">
        <v>421</v>
      </c>
      <c r="G147" s="5" t="s">
        <v>112</v>
      </c>
      <c r="H147" s="7">
        <v>6458</v>
      </c>
      <c r="I147" s="6" t="s">
        <v>15</v>
      </c>
    </row>
    <row r="148" spans="1:9" x14ac:dyDescent="0.25">
      <c r="A148" s="2" t="s">
        <v>422</v>
      </c>
      <c r="B148" s="2" t="s">
        <v>400</v>
      </c>
      <c r="C148" s="2" t="s">
        <v>91</v>
      </c>
      <c r="D148" s="3" t="s">
        <v>401</v>
      </c>
      <c r="E148" s="3">
        <v>10</v>
      </c>
      <c r="F148" s="2" t="s">
        <v>423</v>
      </c>
      <c r="G148" s="2" t="s">
        <v>424</v>
      </c>
      <c r="H148" s="4">
        <v>31777</v>
      </c>
      <c r="I148" s="3" t="s">
        <v>15</v>
      </c>
    </row>
    <row r="149" spans="1:9" x14ac:dyDescent="0.25">
      <c r="A149" s="5" t="s">
        <v>425</v>
      </c>
      <c r="B149" s="5" t="s">
        <v>426</v>
      </c>
      <c r="C149" s="5" t="s">
        <v>427</v>
      </c>
      <c r="D149" s="6" t="s">
        <v>428</v>
      </c>
      <c r="E149" s="6">
        <v>1</v>
      </c>
      <c r="F149" s="5" t="s">
        <v>429</v>
      </c>
      <c r="G149" s="5" t="s">
        <v>28</v>
      </c>
      <c r="H149" s="7">
        <v>70364</v>
      </c>
      <c r="I149" s="6" t="s">
        <v>15</v>
      </c>
    </row>
    <row r="150" spans="1:9" x14ac:dyDescent="0.25">
      <c r="A150" s="2" t="s">
        <v>430</v>
      </c>
      <c r="B150" s="2" t="s">
        <v>426</v>
      </c>
      <c r="C150" s="2" t="s">
        <v>427</v>
      </c>
      <c r="D150" s="3" t="s">
        <v>428</v>
      </c>
      <c r="E150" s="3">
        <v>2</v>
      </c>
      <c r="F150" s="2" t="s">
        <v>431</v>
      </c>
      <c r="G150" s="2" t="s">
        <v>432</v>
      </c>
      <c r="H150" s="4">
        <v>5936</v>
      </c>
      <c r="I150" s="3" t="s">
        <v>15</v>
      </c>
    </row>
    <row r="151" spans="1:9" x14ac:dyDescent="0.25">
      <c r="A151" s="5" t="s">
        <v>433</v>
      </c>
      <c r="B151" s="5" t="s">
        <v>426</v>
      </c>
      <c r="C151" s="5" t="s">
        <v>427</v>
      </c>
      <c r="D151" s="6" t="s">
        <v>428</v>
      </c>
      <c r="E151" s="6">
        <v>3</v>
      </c>
      <c r="F151" s="5" t="s">
        <v>434</v>
      </c>
      <c r="G151" s="5" t="s">
        <v>144</v>
      </c>
      <c r="H151" s="7">
        <v>17461</v>
      </c>
      <c r="I151" s="6" t="s">
        <v>15</v>
      </c>
    </row>
    <row r="152" spans="1:9" x14ac:dyDescent="0.25">
      <c r="A152" s="2" t="s">
        <v>435</v>
      </c>
      <c r="B152" s="2" t="s">
        <v>426</v>
      </c>
      <c r="C152" s="2" t="s">
        <v>427</v>
      </c>
      <c r="D152" s="3" t="s">
        <v>428</v>
      </c>
      <c r="E152" s="3">
        <v>4</v>
      </c>
      <c r="F152" s="2" t="s">
        <v>436</v>
      </c>
      <c r="G152" s="2" t="s">
        <v>437</v>
      </c>
      <c r="H152" s="4">
        <v>1458</v>
      </c>
      <c r="I152" s="3" t="s">
        <v>15</v>
      </c>
    </row>
    <row r="153" spans="1:9" x14ac:dyDescent="0.25">
      <c r="A153" s="5" t="s">
        <v>438</v>
      </c>
      <c r="B153" s="5" t="s">
        <v>426</v>
      </c>
      <c r="C153" s="5" t="s">
        <v>427</v>
      </c>
      <c r="D153" s="6" t="s">
        <v>428</v>
      </c>
      <c r="E153" s="6">
        <v>5</v>
      </c>
      <c r="F153" s="5" t="s">
        <v>439</v>
      </c>
      <c r="G153" s="5" t="s">
        <v>440</v>
      </c>
      <c r="H153" s="7">
        <v>11051</v>
      </c>
      <c r="I153" s="6" t="s">
        <v>15</v>
      </c>
    </row>
    <row r="154" spans="1:9" x14ac:dyDescent="0.25">
      <c r="A154" s="2" t="s">
        <v>441</v>
      </c>
      <c r="B154" s="2" t="s">
        <v>426</v>
      </c>
      <c r="C154" s="2" t="s">
        <v>427</v>
      </c>
      <c r="D154" s="3" t="s">
        <v>428</v>
      </c>
      <c r="E154" s="3">
        <v>6</v>
      </c>
      <c r="F154" s="2" t="s">
        <v>442</v>
      </c>
      <c r="G154" s="2" t="s">
        <v>43</v>
      </c>
      <c r="H154" s="4">
        <v>19912</v>
      </c>
      <c r="I154" s="3" t="s">
        <v>15</v>
      </c>
    </row>
    <row r="155" spans="1:9" x14ac:dyDescent="0.25">
      <c r="A155" s="8" t="s">
        <v>443</v>
      </c>
      <c r="B155" s="8" t="s">
        <v>426</v>
      </c>
      <c r="C155" s="8" t="s">
        <v>427</v>
      </c>
      <c r="D155" s="9" t="s">
        <v>428</v>
      </c>
      <c r="E155" s="9">
        <v>7</v>
      </c>
      <c r="F155" s="8" t="s">
        <v>444</v>
      </c>
      <c r="G155" s="8" t="s">
        <v>445</v>
      </c>
      <c r="H155" s="10">
        <v>74941</v>
      </c>
      <c r="I155" s="9" t="s">
        <v>25</v>
      </c>
    </row>
    <row r="156" spans="1:9" x14ac:dyDescent="0.25">
      <c r="A156" s="2" t="s">
        <v>446</v>
      </c>
      <c r="B156" s="2" t="s">
        <v>426</v>
      </c>
      <c r="C156" s="2" t="s">
        <v>427</v>
      </c>
      <c r="D156" s="3" t="s">
        <v>428</v>
      </c>
      <c r="E156" s="3">
        <v>8</v>
      </c>
      <c r="F156" s="2" t="s">
        <v>447</v>
      </c>
      <c r="G156" s="2" t="s">
        <v>14</v>
      </c>
      <c r="H156" s="4">
        <v>7299</v>
      </c>
      <c r="I156" s="3" t="s">
        <v>15</v>
      </c>
    </row>
    <row r="157" spans="1:9" x14ac:dyDescent="0.25">
      <c r="A157" s="5" t="s">
        <v>448</v>
      </c>
      <c r="B157" s="5" t="s">
        <v>426</v>
      </c>
      <c r="C157" s="5" t="s">
        <v>427</v>
      </c>
      <c r="D157" s="6" t="s">
        <v>428</v>
      </c>
      <c r="E157" s="6">
        <v>9</v>
      </c>
      <c r="F157" s="5" t="s">
        <v>449</v>
      </c>
      <c r="G157" s="5" t="s">
        <v>450</v>
      </c>
      <c r="H157" s="7">
        <v>15314</v>
      </c>
      <c r="I157" s="6" t="s">
        <v>15</v>
      </c>
    </row>
    <row r="158" spans="1:9" x14ac:dyDescent="0.25">
      <c r="A158" s="2" t="s">
        <v>451</v>
      </c>
      <c r="B158" s="2" t="s">
        <v>452</v>
      </c>
      <c r="C158" s="2" t="s">
        <v>11</v>
      </c>
      <c r="D158" s="3" t="s">
        <v>453</v>
      </c>
      <c r="E158" s="3">
        <v>1</v>
      </c>
      <c r="F158" s="2" t="s">
        <v>454</v>
      </c>
      <c r="G158" s="2" t="s">
        <v>144</v>
      </c>
      <c r="H158" s="4">
        <v>953</v>
      </c>
      <c r="I158" s="3" t="s">
        <v>15</v>
      </c>
    </row>
    <row r="159" spans="1:9" x14ac:dyDescent="0.25">
      <c r="A159" s="5" t="s">
        <v>455</v>
      </c>
      <c r="B159" s="5" t="s">
        <v>452</v>
      </c>
      <c r="C159" s="5" t="s">
        <v>11</v>
      </c>
      <c r="D159" s="6" t="s">
        <v>453</v>
      </c>
      <c r="E159" s="6">
        <v>2</v>
      </c>
      <c r="F159" s="5" t="s">
        <v>456</v>
      </c>
      <c r="G159" s="5" t="s">
        <v>457</v>
      </c>
      <c r="H159" s="7">
        <v>32304</v>
      </c>
      <c r="I159" s="6" t="s">
        <v>15</v>
      </c>
    </row>
    <row r="160" spans="1:9" x14ac:dyDescent="0.25">
      <c r="A160" s="8" t="s">
        <v>458</v>
      </c>
      <c r="B160" s="8" t="s">
        <v>452</v>
      </c>
      <c r="C160" s="8" t="s">
        <v>11</v>
      </c>
      <c r="D160" s="9" t="s">
        <v>453</v>
      </c>
      <c r="E160" s="9">
        <v>3</v>
      </c>
      <c r="F160" s="8" t="s">
        <v>459</v>
      </c>
      <c r="G160" s="8" t="s">
        <v>460</v>
      </c>
      <c r="H160" s="10">
        <v>45874</v>
      </c>
      <c r="I160" s="9" t="s">
        <v>25</v>
      </c>
    </row>
    <row r="161" spans="1:9" x14ac:dyDescent="0.25">
      <c r="A161" s="5" t="s">
        <v>461</v>
      </c>
      <c r="B161" s="5" t="s">
        <v>452</v>
      </c>
      <c r="C161" s="5" t="s">
        <v>11</v>
      </c>
      <c r="D161" s="6" t="s">
        <v>453</v>
      </c>
      <c r="E161" s="6">
        <v>4</v>
      </c>
      <c r="F161" s="5" t="s">
        <v>462</v>
      </c>
      <c r="G161" s="5" t="s">
        <v>463</v>
      </c>
      <c r="H161" s="7">
        <v>4758</v>
      </c>
      <c r="I161" s="6" t="s">
        <v>15</v>
      </c>
    </row>
    <row r="162" spans="1:9" x14ac:dyDescent="0.25">
      <c r="A162" s="2" t="s">
        <v>464</v>
      </c>
      <c r="B162" s="2" t="s">
        <v>452</v>
      </c>
      <c r="C162" s="2" t="s">
        <v>11</v>
      </c>
      <c r="D162" s="3" t="s">
        <v>453</v>
      </c>
      <c r="E162" s="3">
        <v>5</v>
      </c>
      <c r="F162" s="2" t="s">
        <v>465</v>
      </c>
      <c r="G162" s="2" t="s">
        <v>432</v>
      </c>
      <c r="H162" s="4">
        <v>33894</v>
      </c>
      <c r="I162" s="3" t="s">
        <v>15</v>
      </c>
    </row>
    <row r="163" spans="1:9" x14ac:dyDescent="0.25">
      <c r="A163" s="5" t="s">
        <v>466</v>
      </c>
      <c r="B163" s="5" t="s">
        <v>452</v>
      </c>
      <c r="C163" s="5" t="s">
        <v>11</v>
      </c>
      <c r="D163" s="6" t="s">
        <v>453</v>
      </c>
      <c r="E163" s="6">
        <v>6</v>
      </c>
      <c r="F163" s="5" t="s">
        <v>467</v>
      </c>
      <c r="G163" s="5" t="s">
        <v>31</v>
      </c>
      <c r="H163" s="7">
        <v>412</v>
      </c>
      <c r="I163" s="6" t="s">
        <v>15</v>
      </c>
    </row>
    <row r="164" spans="1:9" x14ac:dyDescent="0.25">
      <c r="A164" s="2" t="s">
        <v>468</v>
      </c>
      <c r="B164" s="2" t="s">
        <v>452</v>
      </c>
      <c r="C164" s="2" t="s">
        <v>11</v>
      </c>
      <c r="D164" s="3" t="s">
        <v>453</v>
      </c>
      <c r="E164" s="3">
        <v>7</v>
      </c>
      <c r="F164" s="2" t="s">
        <v>469</v>
      </c>
      <c r="G164" s="2" t="s">
        <v>80</v>
      </c>
      <c r="H164" s="4">
        <v>3030</v>
      </c>
      <c r="I164" s="3" t="s">
        <v>15</v>
      </c>
    </row>
    <row r="165" spans="1:9" x14ac:dyDescent="0.25">
      <c r="A165" s="5" t="s">
        <v>470</v>
      </c>
      <c r="B165" s="5" t="s">
        <v>452</v>
      </c>
      <c r="C165" s="5" t="s">
        <v>11</v>
      </c>
      <c r="D165" s="6" t="s">
        <v>453</v>
      </c>
      <c r="E165" s="6">
        <v>8</v>
      </c>
      <c r="F165" s="5" t="s">
        <v>471</v>
      </c>
      <c r="G165" s="5" t="s">
        <v>154</v>
      </c>
      <c r="H165" s="7">
        <v>1669</v>
      </c>
      <c r="I165" s="6" t="s">
        <v>15</v>
      </c>
    </row>
    <row r="166" spans="1:9" x14ac:dyDescent="0.25">
      <c r="A166" s="8" t="s">
        <v>472</v>
      </c>
      <c r="B166" s="8" t="s">
        <v>473</v>
      </c>
      <c r="C166" s="8" t="s">
        <v>474</v>
      </c>
      <c r="D166" s="9" t="s">
        <v>475</v>
      </c>
      <c r="E166" s="9">
        <v>1</v>
      </c>
      <c r="F166" s="8" t="s">
        <v>476</v>
      </c>
      <c r="G166" s="8" t="s">
        <v>477</v>
      </c>
      <c r="H166" s="10">
        <v>118239</v>
      </c>
      <c r="I166" s="9" t="s">
        <v>25</v>
      </c>
    </row>
    <row r="167" spans="1:9" x14ac:dyDescent="0.25">
      <c r="A167" s="5" t="s">
        <v>478</v>
      </c>
      <c r="B167" s="5" t="s">
        <v>473</v>
      </c>
      <c r="C167" s="5" t="s">
        <v>474</v>
      </c>
      <c r="D167" s="6" t="s">
        <v>475</v>
      </c>
      <c r="E167" s="6">
        <v>2</v>
      </c>
      <c r="F167" s="5" t="s">
        <v>479</v>
      </c>
      <c r="G167" s="5" t="s">
        <v>14</v>
      </c>
      <c r="H167" s="7">
        <v>5697</v>
      </c>
      <c r="I167" s="6" t="s">
        <v>15</v>
      </c>
    </row>
    <row r="168" spans="1:9" x14ac:dyDescent="0.25">
      <c r="A168" s="2" t="s">
        <v>480</v>
      </c>
      <c r="B168" s="2" t="s">
        <v>473</v>
      </c>
      <c r="C168" s="2" t="s">
        <v>474</v>
      </c>
      <c r="D168" s="3" t="s">
        <v>475</v>
      </c>
      <c r="E168" s="3">
        <v>3</v>
      </c>
      <c r="F168" s="2" t="s">
        <v>481</v>
      </c>
      <c r="G168" s="2" t="s">
        <v>160</v>
      </c>
      <c r="H168" s="4">
        <v>2647</v>
      </c>
      <c r="I168" s="3" t="s">
        <v>15</v>
      </c>
    </row>
    <row r="169" spans="1:9" x14ac:dyDescent="0.25">
      <c r="A169" s="5" t="s">
        <v>482</v>
      </c>
      <c r="B169" s="5" t="s">
        <v>473</v>
      </c>
      <c r="C169" s="5" t="s">
        <v>474</v>
      </c>
      <c r="D169" s="6" t="s">
        <v>475</v>
      </c>
      <c r="E169" s="6">
        <v>4</v>
      </c>
      <c r="F169" s="5" t="s">
        <v>483</v>
      </c>
      <c r="G169" s="5" t="s">
        <v>31</v>
      </c>
      <c r="H169" s="7">
        <v>1193</v>
      </c>
      <c r="I169" s="6" t="s">
        <v>15</v>
      </c>
    </row>
    <row r="170" spans="1:9" x14ac:dyDescent="0.25">
      <c r="A170" s="2" t="s">
        <v>484</v>
      </c>
      <c r="B170" s="2" t="s">
        <v>473</v>
      </c>
      <c r="C170" s="2" t="s">
        <v>474</v>
      </c>
      <c r="D170" s="3" t="s">
        <v>475</v>
      </c>
      <c r="E170" s="3">
        <v>5</v>
      </c>
      <c r="F170" s="2" t="s">
        <v>485</v>
      </c>
      <c r="G170" s="2" t="s">
        <v>99</v>
      </c>
      <c r="H170" s="4">
        <v>8323</v>
      </c>
      <c r="I170" s="3" t="s">
        <v>15</v>
      </c>
    </row>
    <row r="171" spans="1:9" x14ac:dyDescent="0.25">
      <c r="A171" s="5" t="s">
        <v>486</v>
      </c>
      <c r="B171" s="5" t="s">
        <v>473</v>
      </c>
      <c r="C171" s="5" t="s">
        <v>474</v>
      </c>
      <c r="D171" s="6" t="s">
        <v>475</v>
      </c>
      <c r="E171" s="6">
        <v>6</v>
      </c>
      <c r="F171" s="5" t="s">
        <v>487</v>
      </c>
      <c r="G171" s="5" t="s">
        <v>37</v>
      </c>
      <c r="H171" s="7">
        <v>3835</v>
      </c>
      <c r="I171" s="6" t="s">
        <v>15</v>
      </c>
    </row>
    <row r="172" spans="1:9" x14ac:dyDescent="0.25">
      <c r="A172" s="2" t="s">
        <v>488</v>
      </c>
      <c r="B172" s="2" t="s">
        <v>473</v>
      </c>
      <c r="C172" s="2" t="s">
        <v>474</v>
      </c>
      <c r="D172" s="3" t="s">
        <v>475</v>
      </c>
      <c r="E172" s="3">
        <v>7</v>
      </c>
      <c r="F172" s="2" t="s">
        <v>489</v>
      </c>
      <c r="G172" s="2" t="s">
        <v>490</v>
      </c>
      <c r="H172" s="4">
        <v>2792</v>
      </c>
      <c r="I172" s="3" t="s">
        <v>15</v>
      </c>
    </row>
    <row r="173" spans="1:9" x14ac:dyDescent="0.25">
      <c r="A173" s="5" t="s">
        <v>491</v>
      </c>
      <c r="B173" s="5" t="s">
        <v>473</v>
      </c>
      <c r="C173" s="5" t="s">
        <v>474</v>
      </c>
      <c r="D173" s="6" t="s">
        <v>475</v>
      </c>
      <c r="E173" s="6">
        <v>8</v>
      </c>
      <c r="F173" s="5" t="s">
        <v>492</v>
      </c>
      <c r="G173" s="5" t="s">
        <v>63</v>
      </c>
      <c r="H173" s="7">
        <v>969</v>
      </c>
      <c r="I173" s="6" t="s">
        <v>15</v>
      </c>
    </row>
    <row r="174" spans="1:9" x14ac:dyDescent="0.25">
      <c r="A174" s="2" t="s">
        <v>493</v>
      </c>
      <c r="B174" s="2" t="s">
        <v>473</v>
      </c>
      <c r="C174" s="2" t="s">
        <v>474</v>
      </c>
      <c r="D174" s="3" t="s">
        <v>475</v>
      </c>
      <c r="E174" s="3">
        <v>9</v>
      </c>
      <c r="F174" s="2" t="s">
        <v>494</v>
      </c>
      <c r="G174" s="2" t="s">
        <v>249</v>
      </c>
      <c r="H174" s="4">
        <v>3119</v>
      </c>
      <c r="I174" s="3" t="s">
        <v>15</v>
      </c>
    </row>
    <row r="175" spans="1:9" x14ac:dyDescent="0.25">
      <c r="A175" s="5" t="s">
        <v>495</v>
      </c>
      <c r="B175" s="5" t="s">
        <v>473</v>
      </c>
      <c r="C175" s="5" t="s">
        <v>474</v>
      </c>
      <c r="D175" s="6" t="s">
        <v>475</v>
      </c>
      <c r="E175" s="6">
        <v>10</v>
      </c>
      <c r="F175" s="5" t="s">
        <v>496</v>
      </c>
      <c r="G175" s="5" t="s">
        <v>497</v>
      </c>
      <c r="H175" s="7">
        <v>22577</v>
      </c>
      <c r="I175" s="6" t="s">
        <v>15</v>
      </c>
    </row>
    <row r="176" spans="1:9" x14ac:dyDescent="0.25">
      <c r="A176" s="8" t="s">
        <v>498</v>
      </c>
      <c r="B176" s="8" t="s">
        <v>499</v>
      </c>
      <c r="C176" s="8" t="s">
        <v>11</v>
      </c>
      <c r="D176" s="9" t="s">
        <v>500</v>
      </c>
      <c r="E176" s="9">
        <v>1</v>
      </c>
      <c r="F176" s="8" t="s">
        <v>501</v>
      </c>
      <c r="G176" s="8" t="s">
        <v>112</v>
      </c>
      <c r="H176" s="10">
        <v>697910</v>
      </c>
      <c r="I176" s="9" t="s">
        <v>25</v>
      </c>
    </row>
    <row r="177" spans="1:9" x14ac:dyDescent="0.25">
      <c r="A177" s="5" t="s">
        <v>502</v>
      </c>
      <c r="B177" s="5" t="s">
        <v>499</v>
      </c>
      <c r="C177" s="5" t="s">
        <v>11</v>
      </c>
      <c r="D177" s="6" t="s">
        <v>500</v>
      </c>
      <c r="E177" s="6">
        <v>2</v>
      </c>
      <c r="F177" s="5" t="s">
        <v>503</v>
      </c>
      <c r="G177" s="5" t="s">
        <v>504</v>
      </c>
      <c r="H177" s="7">
        <v>3214</v>
      </c>
      <c r="I177" s="6" t="s">
        <v>15</v>
      </c>
    </row>
    <row r="178" spans="1:9" x14ac:dyDescent="0.25">
      <c r="A178" s="2" t="s">
        <v>505</v>
      </c>
      <c r="B178" s="2" t="s">
        <v>499</v>
      </c>
      <c r="C178" s="2" t="s">
        <v>11</v>
      </c>
      <c r="D178" s="3" t="s">
        <v>500</v>
      </c>
      <c r="E178" s="3">
        <v>3</v>
      </c>
      <c r="F178" s="2" t="s">
        <v>506</v>
      </c>
      <c r="G178" s="2" t="s">
        <v>507</v>
      </c>
      <c r="H178" s="4">
        <v>1107</v>
      </c>
      <c r="I178" s="3" t="s">
        <v>15</v>
      </c>
    </row>
    <row r="179" spans="1:9" x14ac:dyDescent="0.25">
      <c r="A179" s="5" t="s">
        <v>508</v>
      </c>
      <c r="B179" s="5" t="s">
        <v>499</v>
      </c>
      <c r="C179" s="5" t="s">
        <v>11</v>
      </c>
      <c r="D179" s="6" t="s">
        <v>500</v>
      </c>
      <c r="E179" s="6">
        <v>4</v>
      </c>
      <c r="F179" s="5" t="s">
        <v>509</v>
      </c>
      <c r="G179" s="5" t="s">
        <v>99</v>
      </c>
      <c r="H179" s="7">
        <v>10707</v>
      </c>
      <c r="I179" s="6" t="s">
        <v>15</v>
      </c>
    </row>
    <row r="180" spans="1:9" x14ac:dyDescent="0.25">
      <c r="A180" s="2" t="s">
        <v>510</v>
      </c>
      <c r="B180" s="2" t="s">
        <v>499</v>
      </c>
      <c r="C180" s="2" t="s">
        <v>11</v>
      </c>
      <c r="D180" s="3" t="s">
        <v>500</v>
      </c>
      <c r="E180" s="3">
        <v>5</v>
      </c>
      <c r="F180" s="2" t="s">
        <v>511</v>
      </c>
      <c r="G180" s="2" t="s">
        <v>512</v>
      </c>
      <c r="H180" s="4">
        <v>6370</v>
      </c>
      <c r="I180" s="3" t="s">
        <v>15</v>
      </c>
    </row>
    <row r="181" spans="1:9" x14ac:dyDescent="0.25">
      <c r="A181" s="5" t="s">
        <v>513</v>
      </c>
      <c r="B181" s="5" t="s">
        <v>499</v>
      </c>
      <c r="C181" s="5" t="s">
        <v>11</v>
      </c>
      <c r="D181" s="6" t="s">
        <v>500</v>
      </c>
      <c r="E181" s="6">
        <v>6</v>
      </c>
      <c r="F181" s="5" t="s">
        <v>514</v>
      </c>
      <c r="G181" s="5" t="s">
        <v>14</v>
      </c>
      <c r="H181" s="7">
        <v>3944</v>
      </c>
      <c r="I181" s="6" t="s">
        <v>15</v>
      </c>
    </row>
    <row r="182" spans="1:9" x14ac:dyDescent="0.25">
      <c r="A182" s="2" t="s">
        <v>515</v>
      </c>
      <c r="B182" s="2" t="s">
        <v>499</v>
      </c>
      <c r="C182" s="2" t="s">
        <v>11</v>
      </c>
      <c r="D182" s="3" t="s">
        <v>500</v>
      </c>
      <c r="E182" s="3">
        <v>7</v>
      </c>
      <c r="F182" s="2" t="s">
        <v>516</v>
      </c>
      <c r="G182" s="2" t="s">
        <v>63</v>
      </c>
      <c r="H182" s="4">
        <v>4172</v>
      </c>
      <c r="I182" s="3" t="s">
        <v>15</v>
      </c>
    </row>
    <row r="183" spans="1:9" x14ac:dyDescent="0.25">
      <c r="A183" s="5" t="s">
        <v>517</v>
      </c>
      <c r="B183" s="5" t="s">
        <v>499</v>
      </c>
      <c r="C183" s="5" t="s">
        <v>11</v>
      </c>
      <c r="D183" s="6" t="s">
        <v>500</v>
      </c>
      <c r="E183" s="6">
        <v>8</v>
      </c>
      <c r="F183" s="5" t="s">
        <v>518</v>
      </c>
      <c r="G183" s="5" t="s">
        <v>52</v>
      </c>
      <c r="H183" s="7">
        <v>1714</v>
      </c>
      <c r="I183" s="6" t="s">
        <v>15</v>
      </c>
    </row>
    <row r="184" spans="1:9" x14ac:dyDescent="0.25">
      <c r="A184" s="2" t="s">
        <v>519</v>
      </c>
      <c r="B184" s="2" t="s">
        <v>499</v>
      </c>
      <c r="C184" s="2" t="s">
        <v>11</v>
      </c>
      <c r="D184" s="3" t="s">
        <v>500</v>
      </c>
      <c r="E184" s="3">
        <v>9</v>
      </c>
      <c r="F184" s="2" t="s">
        <v>520</v>
      </c>
      <c r="G184" s="2" t="s">
        <v>521</v>
      </c>
      <c r="H184" s="4">
        <v>2749</v>
      </c>
      <c r="I184" s="3" t="s">
        <v>15</v>
      </c>
    </row>
    <row r="185" spans="1:9" x14ac:dyDescent="0.25">
      <c r="A185" s="5" t="s">
        <v>522</v>
      </c>
      <c r="B185" s="5" t="s">
        <v>499</v>
      </c>
      <c r="C185" s="5" t="s">
        <v>11</v>
      </c>
      <c r="D185" s="6" t="s">
        <v>500</v>
      </c>
      <c r="E185" s="6">
        <v>10</v>
      </c>
      <c r="F185" s="5" t="s">
        <v>523</v>
      </c>
      <c r="G185" s="5" t="s">
        <v>524</v>
      </c>
      <c r="H185" s="7">
        <v>27261</v>
      </c>
      <c r="I185" s="6" t="s">
        <v>15</v>
      </c>
    </row>
    <row r="186" spans="1:9" x14ac:dyDescent="0.25">
      <c r="A186" s="2" t="s">
        <v>525</v>
      </c>
      <c r="B186" s="2" t="s">
        <v>499</v>
      </c>
      <c r="C186" s="2" t="s">
        <v>11</v>
      </c>
      <c r="D186" s="3" t="s">
        <v>500</v>
      </c>
      <c r="E186" s="3">
        <v>11</v>
      </c>
      <c r="F186" s="2" t="s">
        <v>526</v>
      </c>
      <c r="G186" s="2" t="s">
        <v>527</v>
      </c>
      <c r="H186" s="4">
        <v>12836</v>
      </c>
      <c r="I186" s="3" t="s">
        <v>15</v>
      </c>
    </row>
    <row r="187" spans="1:9" x14ac:dyDescent="0.25">
      <c r="A187" s="5" t="s">
        <v>528</v>
      </c>
      <c r="B187" s="5" t="s">
        <v>499</v>
      </c>
      <c r="C187" s="5" t="s">
        <v>11</v>
      </c>
      <c r="D187" s="6" t="s">
        <v>500</v>
      </c>
      <c r="E187" s="6">
        <v>12</v>
      </c>
      <c r="F187" s="5" t="s">
        <v>529</v>
      </c>
      <c r="G187" s="5" t="s">
        <v>154</v>
      </c>
      <c r="H187" s="7">
        <v>95883</v>
      </c>
      <c r="I187" s="6" t="s">
        <v>15</v>
      </c>
    </row>
    <row r="188" spans="1:9" x14ac:dyDescent="0.25">
      <c r="A188" s="2" t="s">
        <v>530</v>
      </c>
      <c r="B188" s="2" t="s">
        <v>499</v>
      </c>
      <c r="C188" s="2" t="s">
        <v>11</v>
      </c>
      <c r="D188" s="3" t="s">
        <v>500</v>
      </c>
      <c r="E188" s="3">
        <v>13</v>
      </c>
      <c r="F188" s="2" t="s">
        <v>531</v>
      </c>
      <c r="G188" s="2" t="s">
        <v>137</v>
      </c>
      <c r="H188" s="4">
        <v>2676</v>
      </c>
      <c r="I188" s="3" t="s">
        <v>15</v>
      </c>
    </row>
    <row r="189" spans="1:9" x14ac:dyDescent="0.25">
      <c r="A189" s="5" t="s">
        <v>532</v>
      </c>
      <c r="B189" s="5" t="s">
        <v>499</v>
      </c>
      <c r="C189" s="5" t="s">
        <v>11</v>
      </c>
      <c r="D189" s="6" t="s">
        <v>500</v>
      </c>
      <c r="E189" s="6">
        <v>14</v>
      </c>
      <c r="F189" s="5" t="s">
        <v>533</v>
      </c>
      <c r="G189" s="5" t="s">
        <v>80</v>
      </c>
      <c r="H189" s="7">
        <v>11776</v>
      </c>
      <c r="I189" s="6" t="s">
        <v>15</v>
      </c>
    </row>
    <row r="190" spans="1:9" x14ac:dyDescent="0.25">
      <c r="A190" s="2" t="s">
        <v>534</v>
      </c>
      <c r="B190" s="2" t="s">
        <v>535</v>
      </c>
      <c r="C190" s="2" t="s">
        <v>536</v>
      </c>
      <c r="D190" s="3" t="s">
        <v>537</v>
      </c>
      <c r="E190" s="3">
        <v>1</v>
      </c>
      <c r="F190" s="2" t="s">
        <v>538</v>
      </c>
      <c r="G190" s="2" t="s">
        <v>160</v>
      </c>
      <c r="H190" s="4">
        <v>293</v>
      </c>
      <c r="I190" s="3" t="s">
        <v>15</v>
      </c>
    </row>
    <row r="191" spans="1:9" x14ac:dyDescent="0.25">
      <c r="A191" s="5" t="s">
        <v>539</v>
      </c>
      <c r="B191" s="5" t="s">
        <v>535</v>
      </c>
      <c r="C191" s="5" t="s">
        <v>536</v>
      </c>
      <c r="D191" s="6" t="s">
        <v>537</v>
      </c>
      <c r="E191" s="6">
        <v>2</v>
      </c>
      <c r="F191" s="5" t="s">
        <v>540</v>
      </c>
      <c r="G191" s="5" t="s">
        <v>63</v>
      </c>
      <c r="H191" s="7">
        <v>771</v>
      </c>
      <c r="I191" s="6" t="s">
        <v>15</v>
      </c>
    </row>
    <row r="192" spans="1:9" x14ac:dyDescent="0.25">
      <c r="A192" s="2" t="s">
        <v>541</v>
      </c>
      <c r="B192" s="2" t="s">
        <v>535</v>
      </c>
      <c r="C192" s="2" t="s">
        <v>536</v>
      </c>
      <c r="D192" s="3" t="s">
        <v>537</v>
      </c>
      <c r="E192" s="3">
        <v>3</v>
      </c>
      <c r="F192" s="2" t="s">
        <v>542</v>
      </c>
      <c r="G192" s="2" t="s">
        <v>80</v>
      </c>
      <c r="H192" s="4">
        <v>5637</v>
      </c>
      <c r="I192" s="3" t="s">
        <v>15</v>
      </c>
    </row>
    <row r="193" spans="1:9" x14ac:dyDescent="0.25">
      <c r="A193" s="5" t="s">
        <v>543</v>
      </c>
      <c r="B193" s="5" t="s">
        <v>535</v>
      </c>
      <c r="C193" s="5" t="s">
        <v>536</v>
      </c>
      <c r="D193" s="6" t="s">
        <v>537</v>
      </c>
      <c r="E193" s="6">
        <v>4</v>
      </c>
      <c r="F193" s="5" t="s">
        <v>544</v>
      </c>
      <c r="G193" s="5" t="s">
        <v>545</v>
      </c>
      <c r="H193" s="7">
        <v>503</v>
      </c>
      <c r="I193" s="6" t="s">
        <v>15</v>
      </c>
    </row>
    <row r="194" spans="1:9" x14ac:dyDescent="0.25">
      <c r="A194" s="2" t="s">
        <v>546</v>
      </c>
      <c r="B194" s="2" t="s">
        <v>535</v>
      </c>
      <c r="C194" s="2" t="s">
        <v>536</v>
      </c>
      <c r="D194" s="3" t="s">
        <v>537</v>
      </c>
      <c r="E194" s="3">
        <v>5</v>
      </c>
      <c r="F194" s="2" t="s">
        <v>547</v>
      </c>
      <c r="G194" s="2" t="s">
        <v>74</v>
      </c>
      <c r="H194" s="4">
        <v>1200</v>
      </c>
      <c r="I194" s="3" t="s">
        <v>15</v>
      </c>
    </row>
    <row r="195" spans="1:9" x14ac:dyDescent="0.25">
      <c r="A195" s="5" t="s">
        <v>548</v>
      </c>
      <c r="B195" s="5" t="s">
        <v>535</v>
      </c>
      <c r="C195" s="5" t="s">
        <v>536</v>
      </c>
      <c r="D195" s="6" t="s">
        <v>537</v>
      </c>
      <c r="E195" s="6">
        <v>6</v>
      </c>
      <c r="F195" s="5" t="s">
        <v>549</v>
      </c>
      <c r="G195" s="5" t="s">
        <v>550</v>
      </c>
      <c r="H195" s="7">
        <v>88383</v>
      </c>
      <c r="I195" s="6" t="s">
        <v>15</v>
      </c>
    </row>
    <row r="196" spans="1:9" x14ac:dyDescent="0.25">
      <c r="A196" s="2" t="s">
        <v>551</v>
      </c>
      <c r="B196" s="2" t="s">
        <v>535</v>
      </c>
      <c r="C196" s="2" t="s">
        <v>536</v>
      </c>
      <c r="D196" s="3" t="s">
        <v>537</v>
      </c>
      <c r="E196" s="3">
        <v>7</v>
      </c>
      <c r="F196" s="2" t="s">
        <v>552</v>
      </c>
      <c r="G196" s="2" t="s">
        <v>126</v>
      </c>
      <c r="H196" s="4">
        <v>4376</v>
      </c>
      <c r="I196" s="3" t="s">
        <v>15</v>
      </c>
    </row>
    <row r="197" spans="1:9" x14ac:dyDescent="0.25">
      <c r="A197" s="8" t="s">
        <v>553</v>
      </c>
      <c r="B197" s="8" t="s">
        <v>535</v>
      </c>
      <c r="C197" s="8" t="s">
        <v>536</v>
      </c>
      <c r="D197" s="9" t="s">
        <v>537</v>
      </c>
      <c r="E197" s="9">
        <v>8</v>
      </c>
      <c r="F197" s="8" t="s">
        <v>554</v>
      </c>
      <c r="G197" s="8" t="s">
        <v>555</v>
      </c>
      <c r="H197" s="10">
        <v>115657</v>
      </c>
      <c r="I197" s="9" t="s">
        <v>25</v>
      </c>
    </row>
    <row r="198" spans="1:9" x14ac:dyDescent="0.25">
      <c r="A198" s="2" t="s">
        <v>556</v>
      </c>
      <c r="B198" s="2" t="s">
        <v>557</v>
      </c>
      <c r="C198" s="2" t="s">
        <v>558</v>
      </c>
      <c r="D198" s="3" t="s">
        <v>559</v>
      </c>
      <c r="E198" s="3">
        <v>1</v>
      </c>
      <c r="F198" s="2" t="s">
        <v>560</v>
      </c>
      <c r="G198" s="2" t="s">
        <v>182</v>
      </c>
      <c r="H198" s="4">
        <v>18556</v>
      </c>
      <c r="I198" s="3" t="s">
        <v>15</v>
      </c>
    </row>
    <row r="199" spans="1:9" x14ac:dyDescent="0.25">
      <c r="A199" s="5" t="s">
        <v>561</v>
      </c>
      <c r="B199" s="5" t="s">
        <v>557</v>
      </c>
      <c r="C199" s="5" t="s">
        <v>558</v>
      </c>
      <c r="D199" s="6" t="s">
        <v>559</v>
      </c>
      <c r="E199" s="6">
        <v>2</v>
      </c>
      <c r="F199" s="5" t="s">
        <v>562</v>
      </c>
      <c r="G199" s="5" t="s">
        <v>432</v>
      </c>
      <c r="H199" s="7">
        <v>12111</v>
      </c>
      <c r="I199" s="6" t="s">
        <v>15</v>
      </c>
    </row>
    <row r="200" spans="1:9" x14ac:dyDescent="0.25">
      <c r="A200" s="2" t="s">
        <v>563</v>
      </c>
      <c r="B200" s="2" t="s">
        <v>557</v>
      </c>
      <c r="C200" s="2" t="s">
        <v>558</v>
      </c>
      <c r="D200" s="3" t="s">
        <v>559</v>
      </c>
      <c r="E200" s="3">
        <v>3</v>
      </c>
      <c r="F200" s="2" t="s">
        <v>564</v>
      </c>
      <c r="G200" s="2" t="s">
        <v>249</v>
      </c>
      <c r="H200" s="4">
        <v>889</v>
      </c>
      <c r="I200" s="3" t="s">
        <v>15</v>
      </c>
    </row>
    <row r="201" spans="1:9" x14ac:dyDescent="0.25">
      <c r="A201" s="5" t="s">
        <v>565</v>
      </c>
      <c r="B201" s="5" t="s">
        <v>557</v>
      </c>
      <c r="C201" s="5" t="s">
        <v>558</v>
      </c>
      <c r="D201" s="6" t="s">
        <v>559</v>
      </c>
      <c r="E201" s="6">
        <v>4</v>
      </c>
      <c r="F201" s="5" t="s">
        <v>566</v>
      </c>
      <c r="G201" s="5" t="s">
        <v>567</v>
      </c>
      <c r="H201" s="7">
        <v>12722</v>
      </c>
      <c r="I201" s="6" t="s">
        <v>15</v>
      </c>
    </row>
    <row r="202" spans="1:9" x14ac:dyDescent="0.25">
      <c r="A202" s="2" t="s">
        <v>568</v>
      </c>
      <c r="B202" s="2" t="s">
        <v>557</v>
      </c>
      <c r="C202" s="2" t="s">
        <v>558</v>
      </c>
      <c r="D202" s="3" t="s">
        <v>559</v>
      </c>
      <c r="E202" s="3">
        <v>5</v>
      </c>
      <c r="F202" s="2" t="s">
        <v>569</v>
      </c>
      <c r="G202" s="2" t="s">
        <v>63</v>
      </c>
      <c r="H202" s="4">
        <v>642</v>
      </c>
      <c r="I202" s="3" t="s">
        <v>15</v>
      </c>
    </row>
    <row r="203" spans="1:9" x14ac:dyDescent="0.25">
      <c r="A203" s="5" t="s">
        <v>570</v>
      </c>
      <c r="B203" s="5" t="s">
        <v>557</v>
      </c>
      <c r="C203" s="5" t="s">
        <v>558</v>
      </c>
      <c r="D203" s="6" t="s">
        <v>559</v>
      </c>
      <c r="E203" s="6">
        <v>6</v>
      </c>
      <c r="F203" s="5" t="s">
        <v>571</v>
      </c>
      <c r="G203" s="5" t="s">
        <v>572</v>
      </c>
      <c r="H203" s="7">
        <v>13176</v>
      </c>
      <c r="I203" s="6" t="s">
        <v>15</v>
      </c>
    </row>
    <row r="204" spans="1:9" x14ac:dyDescent="0.25">
      <c r="A204" s="8" t="s">
        <v>573</v>
      </c>
      <c r="B204" s="8" t="s">
        <v>557</v>
      </c>
      <c r="C204" s="8" t="s">
        <v>558</v>
      </c>
      <c r="D204" s="9" t="s">
        <v>559</v>
      </c>
      <c r="E204" s="9">
        <v>7</v>
      </c>
      <c r="F204" s="8" t="s">
        <v>574</v>
      </c>
      <c r="G204" s="8" t="s">
        <v>575</v>
      </c>
      <c r="H204" s="10">
        <v>57058</v>
      </c>
      <c r="I204" s="9" t="s">
        <v>25</v>
      </c>
    </row>
    <row r="205" spans="1:9" x14ac:dyDescent="0.25">
      <c r="A205" s="5" t="s">
        <v>576</v>
      </c>
      <c r="B205" s="5" t="s">
        <v>557</v>
      </c>
      <c r="C205" s="5" t="s">
        <v>558</v>
      </c>
      <c r="D205" s="6" t="s">
        <v>559</v>
      </c>
      <c r="E205" s="6">
        <v>8</v>
      </c>
      <c r="F205" s="5" t="s">
        <v>577</v>
      </c>
      <c r="G205" s="5" t="s">
        <v>578</v>
      </c>
      <c r="H205" s="7">
        <v>14453</v>
      </c>
      <c r="I205" s="6" t="s">
        <v>15</v>
      </c>
    </row>
    <row r="206" spans="1:9" x14ac:dyDescent="0.25">
      <c r="A206" s="2" t="s">
        <v>579</v>
      </c>
      <c r="B206" s="2" t="s">
        <v>557</v>
      </c>
      <c r="C206" s="2" t="s">
        <v>558</v>
      </c>
      <c r="D206" s="3" t="s">
        <v>559</v>
      </c>
      <c r="E206" s="3">
        <v>9</v>
      </c>
      <c r="F206" s="2" t="s">
        <v>580</v>
      </c>
      <c r="G206" s="2" t="s">
        <v>581</v>
      </c>
      <c r="H206" s="4">
        <v>12081</v>
      </c>
      <c r="I206" s="3" t="s">
        <v>15</v>
      </c>
    </row>
    <row r="207" spans="1:9" x14ac:dyDescent="0.25">
      <c r="A207" s="5" t="s">
        <v>582</v>
      </c>
      <c r="B207" s="5" t="s">
        <v>583</v>
      </c>
      <c r="C207" s="5" t="s">
        <v>236</v>
      </c>
      <c r="D207" s="6" t="s">
        <v>584</v>
      </c>
      <c r="E207" s="6">
        <v>1</v>
      </c>
      <c r="F207" s="5" t="s">
        <v>585</v>
      </c>
      <c r="G207" s="5" t="s">
        <v>63</v>
      </c>
      <c r="H207" s="7">
        <v>2601</v>
      </c>
      <c r="I207" s="6" t="s">
        <v>15</v>
      </c>
    </row>
    <row r="208" spans="1:9" x14ac:dyDescent="0.25">
      <c r="A208" s="2" t="s">
        <v>586</v>
      </c>
      <c r="B208" s="2" t="s">
        <v>583</v>
      </c>
      <c r="C208" s="2" t="s">
        <v>236</v>
      </c>
      <c r="D208" s="3" t="s">
        <v>584</v>
      </c>
      <c r="E208" s="3">
        <v>2</v>
      </c>
      <c r="F208" s="2" t="s">
        <v>587</v>
      </c>
      <c r="G208" s="2" t="s">
        <v>99</v>
      </c>
      <c r="H208" s="4">
        <v>4018</v>
      </c>
      <c r="I208" s="3" t="s">
        <v>15</v>
      </c>
    </row>
    <row r="209" spans="1:9" x14ac:dyDescent="0.25">
      <c r="A209" s="5" t="s">
        <v>588</v>
      </c>
      <c r="B209" s="5" t="s">
        <v>583</v>
      </c>
      <c r="C209" s="5" t="s">
        <v>236</v>
      </c>
      <c r="D209" s="6" t="s">
        <v>584</v>
      </c>
      <c r="E209" s="6">
        <v>3</v>
      </c>
      <c r="F209" s="5" t="s">
        <v>589</v>
      </c>
      <c r="G209" s="5" t="s">
        <v>590</v>
      </c>
      <c r="H209" s="7">
        <v>37368</v>
      </c>
      <c r="I209" s="6" t="s">
        <v>15</v>
      </c>
    </row>
    <row r="210" spans="1:9" x14ac:dyDescent="0.25">
      <c r="A210" s="2" t="s">
        <v>591</v>
      </c>
      <c r="B210" s="2" t="s">
        <v>583</v>
      </c>
      <c r="C210" s="2" t="s">
        <v>236</v>
      </c>
      <c r="D210" s="3" t="s">
        <v>584</v>
      </c>
      <c r="E210" s="3">
        <v>4</v>
      </c>
      <c r="F210" s="2" t="s">
        <v>592</v>
      </c>
      <c r="G210" s="2" t="s">
        <v>166</v>
      </c>
      <c r="H210" s="4">
        <v>872</v>
      </c>
      <c r="I210" s="3" t="s">
        <v>15</v>
      </c>
    </row>
    <row r="211" spans="1:9" x14ac:dyDescent="0.25">
      <c r="A211" s="5" t="s">
        <v>593</v>
      </c>
      <c r="B211" s="5" t="s">
        <v>583</v>
      </c>
      <c r="C211" s="5" t="s">
        <v>236</v>
      </c>
      <c r="D211" s="6" t="s">
        <v>584</v>
      </c>
      <c r="E211" s="6">
        <v>5</v>
      </c>
      <c r="F211" s="5" t="s">
        <v>594</v>
      </c>
      <c r="G211" s="5" t="s">
        <v>52</v>
      </c>
      <c r="H211" s="7">
        <v>5044</v>
      </c>
      <c r="I211" s="6" t="s">
        <v>15</v>
      </c>
    </row>
    <row r="212" spans="1:9" x14ac:dyDescent="0.25">
      <c r="A212" s="2" t="s">
        <v>595</v>
      </c>
      <c r="B212" s="2" t="s">
        <v>583</v>
      </c>
      <c r="C212" s="2" t="s">
        <v>236</v>
      </c>
      <c r="D212" s="3" t="s">
        <v>584</v>
      </c>
      <c r="E212" s="3">
        <v>6</v>
      </c>
      <c r="F212" s="2" t="s">
        <v>596</v>
      </c>
      <c r="G212" s="2" t="s">
        <v>37</v>
      </c>
      <c r="H212" s="4">
        <v>2369</v>
      </c>
      <c r="I212" s="3" t="s">
        <v>15</v>
      </c>
    </row>
    <row r="213" spans="1:9" x14ac:dyDescent="0.25">
      <c r="A213" s="8" t="s">
        <v>597</v>
      </c>
      <c r="B213" s="8" t="s">
        <v>583</v>
      </c>
      <c r="C213" s="8" t="s">
        <v>236</v>
      </c>
      <c r="D213" s="9" t="s">
        <v>584</v>
      </c>
      <c r="E213" s="9">
        <v>7</v>
      </c>
      <c r="F213" s="8" t="s">
        <v>598</v>
      </c>
      <c r="G213" s="8" t="s">
        <v>599</v>
      </c>
      <c r="H213" s="10">
        <v>57408</v>
      </c>
      <c r="I213" s="9" t="s">
        <v>25</v>
      </c>
    </row>
    <row r="214" spans="1:9" x14ac:dyDescent="0.25">
      <c r="A214" s="2" t="s">
        <v>600</v>
      </c>
      <c r="B214" s="2" t="s">
        <v>583</v>
      </c>
      <c r="C214" s="2" t="s">
        <v>236</v>
      </c>
      <c r="D214" s="3" t="s">
        <v>584</v>
      </c>
      <c r="E214" s="3">
        <v>8</v>
      </c>
      <c r="F214" s="2" t="s">
        <v>601</v>
      </c>
      <c r="G214" s="2" t="s">
        <v>249</v>
      </c>
      <c r="H214" s="4">
        <v>640</v>
      </c>
      <c r="I214" s="3" t="s">
        <v>15</v>
      </c>
    </row>
    <row r="215" spans="1:9" x14ac:dyDescent="0.25">
      <c r="A215" s="5" t="s">
        <v>602</v>
      </c>
      <c r="B215" s="5" t="s">
        <v>583</v>
      </c>
      <c r="C215" s="5" t="s">
        <v>236</v>
      </c>
      <c r="D215" s="6" t="s">
        <v>584</v>
      </c>
      <c r="E215" s="6">
        <v>9</v>
      </c>
      <c r="F215" s="5" t="s">
        <v>603</v>
      </c>
      <c r="G215" s="5" t="s">
        <v>604</v>
      </c>
      <c r="H215" s="7">
        <v>17471</v>
      </c>
      <c r="I215" s="6" t="s">
        <v>15</v>
      </c>
    </row>
    <row r="216" spans="1:9" x14ac:dyDescent="0.25">
      <c r="A216" s="2" t="s">
        <v>605</v>
      </c>
      <c r="B216" s="2" t="s">
        <v>583</v>
      </c>
      <c r="C216" s="2" t="s">
        <v>236</v>
      </c>
      <c r="D216" s="3" t="s">
        <v>584</v>
      </c>
      <c r="E216" s="3">
        <v>10</v>
      </c>
      <c r="F216" s="2" t="s">
        <v>606</v>
      </c>
      <c r="G216" s="2" t="s">
        <v>154</v>
      </c>
      <c r="H216" s="4">
        <v>1234</v>
      </c>
      <c r="I216" s="3" t="s">
        <v>15</v>
      </c>
    </row>
    <row r="217" spans="1:9" x14ac:dyDescent="0.25">
      <c r="A217" s="5" t="s">
        <v>607</v>
      </c>
      <c r="B217" s="5" t="s">
        <v>608</v>
      </c>
      <c r="C217" s="5" t="s">
        <v>609</v>
      </c>
      <c r="D217" s="6" t="s">
        <v>610</v>
      </c>
      <c r="E217" s="6">
        <v>1</v>
      </c>
      <c r="F217" s="5" t="s">
        <v>611</v>
      </c>
      <c r="G217" s="5" t="s">
        <v>34</v>
      </c>
      <c r="H217" s="7">
        <v>764</v>
      </c>
      <c r="I217" s="6" t="s">
        <v>15</v>
      </c>
    </row>
    <row r="218" spans="1:9" x14ac:dyDescent="0.25">
      <c r="A218" s="2" t="s">
        <v>612</v>
      </c>
      <c r="B218" s="2" t="s">
        <v>608</v>
      </c>
      <c r="C218" s="2" t="s">
        <v>609</v>
      </c>
      <c r="D218" s="3" t="s">
        <v>610</v>
      </c>
      <c r="E218" s="3">
        <v>2</v>
      </c>
      <c r="F218" s="2" t="s">
        <v>613</v>
      </c>
      <c r="G218" s="2" t="s">
        <v>14</v>
      </c>
      <c r="H218" s="4">
        <v>4648</v>
      </c>
      <c r="I218" s="3" t="s">
        <v>15</v>
      </c>
    </row>
    <row r="219" spans="1:9" x14ac:dyDescent="0.25">
      <c r="A219" s="5" t="s">
        <v>614</v>
      </c>
      <c r="B219" s="5" t="s">
        <v>608</v>
      </c>
      <c r="C219" s="5" t="s">
        <v>609</v>
      </c>
      <c r="D219" s="6" t="s">
        <v>610</v>
      </c>
      <c r="E219" s="6">
        <v>3</v>
      </c>
      <c r="F219" s="5" t="s">
        <v>615</v>
      </c>
      <c r="G219" s="5" t="s">
        <v>616</v>
      </c>
      <c r="H219" s="7">
        <v>14890</v>
      </c>
      <c r="I219" s="6" t="s">
        <v>15</v>
      </c>
    </row>
    <row r="220" spans="1:9" x14ac:dyDescent="0.25">
      <c r="A220" s="2" t="s">
        <v>617</v>
      </c>
      <c r="B220" s="2" t="s">
        <v>608</v>
      </c>
      <c r="C220" s="2" t="s">
        <v>609</v>
      </c>
      <c r="D220" s="3" t="s">
        <v>610</v>
      </c>
      <c r="E220" s="3">
        <v>4</v>
      </c>
      <c r="F220" s="2" t="s">
        <v>618</v>
      </c>
      <c r="G220" s="2" t="s">
        <v>619</v>
      </c>
      <c r="H220" s="4">
        <v>45856</v>
      </c>
      <c r="I220" s="3" t="s">
        <v>15</v>
      </c>
    </row>
    <row r="221" spans="1:9" x14ac:dyDescent="0.25">
      <c r="A221" s="5" t="s">
        <v>620</v>
      </c>
      <c r="B221" s="5" t="s">
        <v>608</v>
      </c>
      <c r="C221" s="5" t="s">
        <v>609</v>
      </c>
      <c r="D221" s="6" t="s">
        <v>610</v>
      </c>
      <c r="E221" s="6">
        <v>5</v>
      </c>
      <c r="F221" s="5" t="s">
        <v>621</v>
      </c>
      <c r="G221" s="5" t="s">
        <v>252</v>
      </c>
      <c r="H221" s="7">
        <v>781</v>
      </c>
      <c r="I221" s="6" t="s">
        <v>15</v>
      </c>
    </row>
    <row r="222" spans="1:9" x14ac:dyDescent="0.25">
      <c r="A222" s="8" t="s">
        <v>622</v>
      </c>
      <c r="B222" s="8" t="s">
        <v>608</v>
      </c>
      <c r="C222" s="8" t="s">
        <v>609</v>
      </c>
      <c r="D222" s="9" t="s">
        <v>610</v>
      </c>
      <c r="E222" s="9">
        <v>6</v>
      </c>
      <c r="F222" s="8" t="s">
        <v>623</v>
      </c>
      <c r="G222" s="8" t="s">
        <v>624</v>
      </c>
      <c r="H222" s="10">
        <v>74571</v>
      </c>
      <c r="I222" s="9" t="s">
        <v>25</v>
      </c>
    </row>
    <row r="223" spans="1:9" x14ac:dyDescent="0.25">
      <c r="A223" s="5" t="s">
        <v>625</v>
      </c>
      <c r="B223" s="5" t="s">
        <v>608</v>
      </c>
      <c r="C223" s="5" t="s">
        <v>609</v>
      </c>
      <c r="D223" s="6" t="s">
        <v>610</v>
      </c>
      <c r="E223" s="6">
        <v>7</v>
      </c>
      <c r="F223" s="5" t="s">
        <v>626</v>
      </c>
      <c r="G223" s="5" t="s">
        <v>43</v>
      </c>
      <c r="H223" s="7">
        <v>5346</v>
      </c>
      <c r="I223" s="6" t="s">
        <v>15</v>
      </c>
    </row>
    <row r="224" spans="1:9" x14ac:dyDescent="0.25">
      <c r="A224" s="2" t="s">
        <v>627</v>
      </c>
      <c r="B224" s="2" t="s">
        <v>608</v>
      </c>
      <c r="C224" s="2" t="s">
        <v>609</v>
      </c>
      <c r="D224" s="3" t="s">
        <v>610</v>
      </c>
      <c r="E224" s="3">
        <v>8</v>
      </c>
      <c r="F224" s="2" t="s">
        <v>628</v>
      </c>
      <c r="G224" s="2" t="s">
        <v>144</v>
      </c>
      <c r="H224" s="4">
        <v>7733</v>
      </c>
      <c r="I224" s="3" t="s">
        <v>15</v>
      </c>
    </row>
    <row r="225" spans="1:9" x14ac:dyDescent="0.25">
      <c r="A225" s="5" t="s">
        <v>629</v>
      </c>
      <c r="B225" s="5" t="s">
        <v>608</v>
      </c>
      <c r="C225" s="5" t="s">
        <v>609</v>
      </c>
      <c r="D225" s="6" t="s">
        <v>610</v>
      </c>
      <c r="E225" s="6">
        <v>9</v>
      </c>
      <c r="F225" s="5" t="s">
        <v>630</v>
      </c>
      <c r="G225" s="5" t="s">
        <v>63</v>
      </c>
      <c r="H225" s="7">
        <v>2397</v>
      </c>
      <c r="I225" s="6" t="s">
        <v>15</v>
      </c>
    </row>
    <row r="226" spans="1:9" x14ac:dyDescent="0.25">
      <c r="A226" s="2" t="s">
        <v>631</v>
      </c>
      <c r="B226" s="2" t="s">
        <v>632</v>
      </c>
      <c r="C226" s="2" t="s">
        <v>373</v>
      </c>
      <c r="D226" s="3" t="s">
        <v>633</v>
      </c>
      <c r="E226" s="3">
        <v>1</v>
      </c>
      <c r="F226" s="2" t="s">
        <v>634</v>
      </c>
      <c r="G226" s="2" t="s">
        <v>635</v>
      </c>
      <c r="H226" s="4">
        <v>63869</v>
      </c>
      <c r="I226" s="3" t="s">
        <v>15</v>
      </c>
    </row>
    <row r="227" spans="1:9" x14ac:dyDescent="0.25">
      <c r="A227" s="5" t="s">
        <v>636</v>
      </c>
      <c r="B227" s="5" t="s">
        <v>632</v>
      </c>
      <c r="C227" s="5" t="s">
        <v>373</v>
      </c>
      <c r="D227" s="6" t="s">
        <v>633</v>
      </c>
      <c r="E227" s="6">
        <v>2</v>
      </c>
      <c r="F227" s="5" t="s">
        <v>637</v>
      </c>
      <c r="G227" s="5" t="s">
        <v>43</v>
      </c>
      <c r="H227" s="7">
        <v>5270</v>
      </c>
      <c r="I227" s="6" t="s">
        <v>15</v>
      </c>
    </row>
    <row r="228" spans="1:9" x14ac:dyDescent="0.25">
      <c r="A228" s="2" t="s">
        <v>638</v>
      </c>
      <c r="B228" s="2" t="s">
        <v>632</v>
      </c>
      <c r="C228" s="2" t="s">
        <v>373</v>
      </c>
      <c r="D228" s="3" t="s">
        <v>633</v>
      </c>
      <c r="E228" s="3">
        <v>3</v>
      </c>
      <c r="F228" s="2" t="s">
        <v>639</v>
      </c>
      <c r="G228" s="2" t="s">
        <v>31</v>
      </c>
      <c r="H228" s="4">
        <v>13177</v>
      </c>
      <c r="I228" s="3" t="s">
        <v>15</v>
      </c>
    </row>
    <row r="229" spans="1:9" x14ac:dyDescent="0.25">
      <c r="A229" s="5" t="s">
        <v>640</v>
      </c>
      <c r="B229" s="5" t="s">
        <v>632</v>
      </c>
      <c r="C229" s="5" t="s">
        <v>373</v>
      </c>
      <c r="D229" s="6" t="s">
        <v>633</v>
      </c>
      <c r="E229" s="6">
        <v>4</v>
      </c>
      <c r="F229" s="5" t="s">
        <v>641</v>
      </c>
      <c r="G229" s="5" t="s">
        <v>126</v>
      </c>
      <c r="H229" s="7">
        <v>400</v>
      </c>
      <c r="I229" s="6" t="s">
        <v>15</v>
      </c>
    </row>
    <row r="230" spans="1:9" x14ac:dyDescent="0.25">
      <c r="A230" s="2" t="s">
        <v>642</v>
      </c>
      <c r="B230" s="2" t="s">
        <v>632</v>
      </c>
      <c r="C230" s="2" t="s">
        <v>373</v>
      </c>
      <c r="D230" s="3" t="s">
        <v>633</v>
      </c>
      <c r="E230" s="3">
        <v>5</v>
      </c>
      <c r="F230" s="2" t="s">
        <v>643</v>
      </c>
      <c r="G230" s="2" t="s">
        <v>144</v>
      </c>
      <c r="H230" s="4">
        <v>5851</v>
      </c>
      <c r="I230" s="3" t="s">
        <v>15</v>
      </c>
    </row>
    <row r="231" spans="1:9" x14ac:dyDescent="0.25">
      <c r="A231" s="8" t="s">
        <v>644</v>
      </c>
      <c r="B231" s="8" t="s">
        <v>632</v>
      </c>
      <c r="C231" s="8" t="s">
        <v>373</v>
      </c>
      <c r="D231" s="9" t="s">
        <v>633</v>
      </c>
      <c r="E231" s="9">
        <v>6</v>
      </c>
      <c r="F231" s="8" t="s">
        <v>645</v>
      </c>
      <c r="G231" s="8" t="s">
        <v>646</v>
      </c>
      <c r="H231" s="10">
        <v>82510</v>
      </c>
      <c r="I231" s="9" t="s">
        <v>25</v>
      </c>
    </row>
    <row r="232" spans="1:9" x14ac:dyDescent="0.25">
      <c r="A232" s="2" t="s">
        <v>647</v>
      </c>
      <c r="B232" s="2" t="s">
        <v>632</v>
      </c>
      <c r="C232" s="2" t="s">
        <v>373</v>
      </c>
      <c r="D232" s="3" t="s">
        <v>633</v>
      </c>
      <c r="E232" s="3">
        <v>7</v>
      </c>
      <c r="F232" s="2" t="s">
        <v>648</v>
      </c>
      <c r="G232" s="2" t="s">
        <v>14</v>
      </c>
      <c r="H232" s="4">
        <v>31167</v>
      </c>
      <c r="I232" s="3" t="s">
        <v>15</v>
      </c>
    </row>
    <row r="233" spans="1:9" x14ac:dyDescent="0.25">
      <c r="A233" s="5" t="s">
        <v>649</v>
      </c>
      <c r="B233" s="5" t="s">
        <v>650</v>
      </c>
      <c r="C233" s="5" t="s">
        <v>91</v>
      </c>
      <c r="D233" s="6" t="s">
        <v>651</v>
      </c>
      <c r="E233" s="6">
        <v>1</v>
      </c>
      <c r="F233" s="5" t="s">
        <v>652</v>
      </c>
      <c r="G233" s="5" t="s">
        <v>653</v>
      </c>
      <c r="H233" s="7">
        <v>3145</v>
      </c>
      <c r="I233" s="6" t="s">
        <v>15</v>
      </c>
    </row>
    <row r="234" spans="1:9" x14ac:dyDescent="0.25">
      <c r="A234" s="2" t="s">
        <v>654</v>
      </c>
      <c r="B234" s="2" t="s">
        <v>650</v>
      </c>
      <c r="C234" s="2" t="s">
        <v>91</v>
      </c>
      <c r="D234" s="3" t="s">
        <v>651</v>
      </c>
      <c r="E234" s="3">
        <v>2</v>
      </c>
      <c r="F234" s="2" t="s">
        <v>655</v>
      </c>
      <c r="G234" s="2" t="s">
        <v>157</v>
      </c>
      <c r="H234" s="4">
        <v>10915</v>
      </c>
      <c r="I234" s="3" t="s">
        <v>15</v>
      </c>
    </row>
    <row r="235" spans="1:9" x14ac:dyDescent="0.25">
      <c r="A235" s="5" t="s">
        <v>656</v>
      </c>
      <c r="B235" s="5" t="s">
        <v>650</v>
      </c>
      <c r="C235" s="5" t="s">
        <v>91</v>
      </c>
      <c r="D235" s="6" t="s">
        <v>651</v>
      </c>
      <c r="E235" s="6">
        <v>3</v>
      </c>
      <c r="F235" s="5" t="s">
        <v>657</v>
      </c>
      <c r="G235" s="5" t="s">
        <v>99</v>
      </c>
      <c r="H235" s="7">
        <v>1189</v>
      </c>
      <c r="I235" s="6" t="s">
        <v>15</v>
      </c>
    </row>
    <row r="236" spans="1:9" x14ac:dyDescent="0.25">
      <c r="A236" s="2" t="s">
        <v>658</v>
      </c>
      <c r="B236" s="2" t="s">
        <v>650</v>
      </c>
      <c r="C236" s="2" t="s">
        <v>91</v>
      </c>
      <c r="D236" s="3" t="s">
        <v>651</v>
      </c>
      <c r="E236" s="3">
        <v>4</v>
      </c>
      <c r="F236" s="2" t="s">
        <v>659</v>
      </c>
      <c r="G236" s="2" t="s">
        <v>112</v>
      </c>
      <c r="H236" s="4">
        <v>546</v>
      </c>
      <c r="I236" s="3" t="s">
        <v>15</v>
      </c>
    </row>
    <row r="237" spans="1:9" x14ac:dyDescent="0.25">
      <c r="A237" s="5" t="s">
        <v>660</v>
      </c>
      <c r="B237" s="5" t="s">
        <v>650</v>
      </c>
      <c r="C237" s="5" t="s">
        <v>91</v>
      </c>
      <c r="D237" s="6" t="s">
        <v>651</v>
      </c>
      <c r="E237" s="6">
        <v>5</v>
      </c>
      <c r="F237" s="5" t="s">
        <v>661</v>
      </c>
      <c r="G237" s="5" t="s">
        <v>40</v>
      </c>
      <c r="H237" s="7">
        <v>853</v>
      </c>
      <c r="I237" s="6" t="s">
        <v>15</v>
      </c>
    </row>
    <row r="238" spans="1:9" x14ac:dyDescent="0.25">
      <c r="A238" s="2" t="s">
        <v>662</v>
      </c>
      <c r="B238" s="2" t="s">
        <v>650</v>
      </c>
      <c r="C238" s="2" t="s">
        <v>91</v>
      </c>
      <c r="D238" s="3" t="s">
        <v>651</v>
      </c>
      <c r="E238" s="3">
        <v>6</v>
      </c>
      <c r="F238" s="2" t="s">
        <v>663</v>
      </c>
      <c r="G238" s="2" t="s">
        <v>154</v>
      </c>
      <c r="H238" s="4">
        <v>1585</v>
      </c>
      <c r="I238" s="3" t="s">
        <v>15</v>
      </c>
    </row>
    <row r="239" spans="1:9" x14ac:dyDescent="0.25">
      <c r="A239" s="5" t="s">
        <v>664</v>
      </c>
      <c r="B239" s="5" t="s">
        <v>650</v>
      </c>
      <c r="C239" s="5" t="s">
        <v>91</v>
      </c>
      <c r="D239" s="6" t="s">
        <v>651</v>
      </c>
      <c r="E239" s="6">
        <v>7</v>
      </c>
      <c r="F239" s="5" t="s">
        <v>665</v>
      </c>
      <c r="G239" s="5" t="s">
        <v>126</v>
      </c>
      <c r="H239" s="7">
        <v>305</v>
      </c>
      <c r="I239" s="6" t="s">
        <v>15</v>
      </c>
    </row>
    <row r="240" spans="1:9" x14ac:dyDescent="0.25">
      <c r="A240" s="2" t="s">
        <v>666</v>
      </c>
      <c r="B240" s="2" t="s">
        <v>650</v>
      </c>
      <c r="C240" s="2" t="s">
        <v>91</v>
      </c>
      <c r="D240" s="3" t="s">
        <v>651</v>
      </c>
      <c r="E240" s="3">
        <v>8</v>
      </c>
      <c r="F240" s="2" t="s">
        <v>667</v>
      </c>
      <c r="G240" s="2" t="s">
        <v>144</v>
      </c>
      <c r="H240" s="4">
        <v>1150</v>
      </c>
      <c r="I240" s="3" t="s">
        <v>15</v>
      </c>
    </row>
    <row r="241" spans="1:9" x14ac:dyDescent="0.25">
      <c r="A241" s="5" t="s">
        <v>668</v>
      </c>
      <c r="B241" s="5" t="s">
        <v>650</v>
      </c>
      <c r="C241" s="5" t="s">
        <v>91</v>
      </c>
      <c r="D241" s="6" t="s">
        <v>651</v>
      </c>
      <c r="E241" s="6">
        <v>9</v>
      </c>
      <c r="F241" s="5" t="s">
        <v>669</v>
      </c>
      <c r="G241" s="5" t="s">
        <v>34</v>
      </c>
      <c r="H241" s="7">
        <v>173</v>
      </c>
      <c r="I241" s="6" t="s">
        <v>15</v>
      </c>
    </row>
    <row r="242" spans="1:9" x14ac:dyDescent="0.25">
      <c r="A242" s="8" t="s">
        <v>670</v>
      </c>
      <c r="B242" s="8" t="s">
        <v>650</v>
      </c>
      <c r="C242" s="8" t="s">
        <v>91</v>
      </c>
      <c r="D242" s="9" t="s">
        <v>651</v>
      </c>
      <c r="E242" s="9">
        <v>10</v>
      </c>
      <c r="F242" s="8" t="s">
        <v>671</v>
      </c>
      <c r="G242" s="8" t="s">
        <v>672</v>
      </c>
      <c r="H242" s="10">
        <v>27982</v>
      </c>
      <c r="I242" s="9" t="s">
        <v>25</v>
      </c>
    </row>
    <row r="243" spans="1:9" x14ac:dyDescent="0.25">
      <c r="A243" s="5" t="s">
        <v>673</v>
      </c>
      <c r="B243" s="5" t="s">
        <v>650</v>
      </c>
      <c r="C243" s="5" t="s">
        <v>91</v>
      </c>
      <c r="D243" s="6" t="s">
        <v>651</v>
      </c>
      <c r="E243" s="6">
        <v>11</v>
      </c>
      <c r="F243" s="5" t="s">
        <v>674</v>
      </c>
      <c r="G243" s="5" t="s">
        <v>432</v>
      </c>
      <c r="H243" s="7">
        <v>5953</v>
      </c>
      <c r="I243" s="6" t="s">
        <v>15</v>
      </c>
    </row>
    <row r="244" spans="1:9" x14ac:dyDescent="0.25">
      <c r="A244" s="2" t="s">
        <v>675</v>
      </c>
      <c r="B244" s="2" t="s">
        <v>650</v>
      </c>
      <c r="C244" s="2" t="s">
        <v>91</v>
      </c>
      <c r="D244" s="3" t="s">
        <v>651</v>
      </c>
      <c r="E244" s="3">
        <v>12</v>
      </c>
      <c r="F244" s="2" t="s">
        <v>676</v>
      </c>
      <c r="G244" s="2" t="s">
        <v>63</v>
      </c>
      <c r="H244" s="4">
        <v>867</v>
      </c>
      <c r="I244" s="3" t="s">
        <v>15</v>
      </c>
    </row>
    <row r="245" spans="1:9" x14ac:dyDescent="0.25">
      <c r="A245" s="5" t="s">
        <v>677</v>
      </c>
      <c r="B245" s="5" t="s">
        <v>650</v>
      </c>
      <c r="C245" s="5" t="s">
        <v>91</v>
      </c>
      <c r="D245" s="6" t="s">
        <v>651</v>
      </c>
      <c r="E245" s="6">
        <v>13</v>
      </c>
      <c r="F245" s="5" t="s">
        <v>678</v>
      </c>
      <c r="G245" s="5" t="s">
        <v>679</v>
      </c>
      <c r="H245" s="7">
        <v>24205</v>
      </c>
      <c r="I245" s="6" t="s">
        <v>15</v>
      </c>
    </row>
    <row r="246" spans="1:9" x14ac:dyDescent="0.25">
      <c r="A246" s="2" t="s">
        <v>680</v>
      </c>
      <c r="B246" s="2" t="s">
        <v>681</v>
      </c>
      <c r="C246" s="2" t="s">
        <v>682</v>
      </c>
      <c r="D246" s="3" t="s">
        <v>683</v>
      </c>
      <c r="E246" s="3">
        <v>1</v>
      </c>
      <c r="F246" s="2" t="s">
        <v>684</v>
      </c>
      <c r="G246" s="2" t="s">
        <v>28</v>
      </c>
      <c r="H246" s="4">
        <v>30419</v>
      </c>
      <c r="I246" s="3" t="s">
        <v>15</v>
      </c>
    </row>
    <row r="247" spans="1:9" x14ac:dyDescent="0.25">
      <c r="A247" s="5" t="s">
        <v>685</v>
      </c>
      <c r="B247" s="5" t="s">
        <v>681</v>
      </c>
      <c r="C247" s="5" t="s">
        <v>682</v>
      </c>
      <c r="D247" s="6" t="s">
        <v>683</v>
      </c>
      <c r="E247" s="6">
        <v>2</v>
      </c>
      <c r="F247" s="5" t="s">
        <v>686</v>
      </c>
      <c r="G247" s="5" t="s">
        <v>71</v>
      </c>
      <c r="H247" s="7">
        <v>585</v>
      </c>
      <c r="I247" s="6" t="s">
        <v>15</v>
      </c>
    </row>
    <row r="248" spans="1:9" x14ac:dyDescent="0.25">
      <c r="A248" s="2" t="s">
        <v>687</v>
      </c>
      <c r="B248" s="2" t="s">
        <v>681</v>
      </c>
      <c r="C248" s="2" t="s">
        <v>682</v>
      </c>
      <c r="D248" s="3" t="s">
        <v>683</v>
      </c>
      <c r="E248" s="3">
        <v>3</v>
      </c>
      <c r="F248" s="2" t="s">
        <v>688</v>
      </c>
      <c r="G248" s="2" t="s">
        <v>126</v>
      </c>
      <c r="H248" s="4">
        <v>159</v>
      </c>
      <c r="I248" s="3" t="s">
        <v>15</v>
      </c>
    </row>
    <row r="249" spans="1:9" x14ac:dyDescent="0.25">
      <c r="A249" s="5" t="s">
        <v>689</v>
      </c>
      <c r="B249" s="5" t="s">
        <v>681</v>
      </c>
      <c r="C249" s="5" t="s">
        <v>682</v>
      </c>
      <c r="D249" s="6" t="s">
        <v>683</v>
      </c>
      <c r="E249" s="6">
        <v>4</v>
      </c>
      <c r="F249" s="5" t="s">
        <v>690</v>
      </c>
      <c r="G249" s="5" t="s">
        <v>14</v>
      </c>
      <c r="H249" s="7">
        <v>980</v>
      </c>
      <c r="I249" s="6" t="s">
        <v>15</v>
      </c>
    </row>
    <row r="250" spans="1:9" x14ac:dyDescent="0.25">
      <c r="A250" s="2" t="s">
        <v>691</v>
      </c>
      <c r="B250" s="2" t="s">
        <v>681</v>
      </c>
      <c r="C250" s="2" t="s">
        <v>682</v>
      </c>
      <c r="D250" s="3" t="s">
        <v>683</v>
      </c>
      <c r="E250" s="3">
        <v>5</v>
      </c>
      <c r="F250" s="2" t="s">
        <v>692</v>
      </c>
      <c r="G250" s="2" t="s">
        <v>40</v>
      </c>
      <c r="H250" s="4">
        <v>2053</v>
      </c>
      <c r="I250" s="3" t="s">
        <v>15</v>
      </c>
    </row>
    <row r="251" spans="1:9" x14ac:dyDescent="0.25">
      <c r="A251" s="5" t="s">
        <v>693</v>
      </c>
      <c r="B251" s="5" t="s">
        <v>681</v>
      </c>
      <c r="C251" s="5" t="s">
        <v>682</v>
      </c>
      <c r="D251" s="6" t="s">
        <v>683</v>
      </c>
      <c r="E251" s="6">
        <v>6</v>
      </c>
      <c r="F251" s="5" t="s">
        <v>694</v>
      </c>
      <c r="G251" s="5" t="s">
        <v>99</v>
      </c>
      <c r="H251" s="7">
        <v>451</v>
      </c>
      <c r="I251" s="6" t="s">
        <v>15</v>
      </c>
    </row>
    <row r="252" spans="1:9" x14ac:dyDescent="0.25">
      <c r="A252" s="2" t="s">
        <v>695</v>
      </c>
      <c r="B252" s="2" t="s">
        <v>681</v>
      </c>
      <c r="C252" s="2" t="s">
        <v>682</v>
      </c>
      <c r="D252" s="3" t="s">
        <v>683</v>
      </c>
      <c r="E252" s="3">
        <v>7</v>
      </c>
      <c r="F252" s="2" t="s">
        <v>696</v>
      </c>
      <c r="G252" s="2" t="s">
        <v>697</v>
      </c>
      <c r="H252" s="4">
        <v>3761</v>
      </c>
      <c r="I252" s="3" t="s">
        <v>15</v>
      </c>
    </row>
    <row r="253" spans="1:9" x14ac:dyDescent="0.25">
      <c r="A253" s="5" t="s">
        <v>698</v>
      </c>
      <c r="B253" s="5" t="s">
        <v>681</v>
      </c>
      <c r="C253" s="5" t="s">
        <v>682</v>
      </c>
      <c r="D253" s="6" t="s">
        <v>683</v>
      </c>
      <c r="E253" s="6">
        <v>8</v>
      </c>
      <c r="F253" s="5" t="s">
        <v>699</v>
      </c>
      <c r="G253" s="5" t="s">
        <v>80</v>
      </c>
      <c r="H253" s="7">
        <v>536</v>
      </c>
      <c r="I253" s="6" t="s">
        <v>15</v>
      </c>
    </row>
    <row r="254" spans="1:9" x14ac:dyDescent="0.25">
      <c r="A254" s="2" t="s">
        <v>700</v>
      </c>
      <c r="B254" s="2" t="s">
        <v>681</v>
      </c>
      <c r="C254" s="2" t="s">
        <v>682</v>
      </c>
      <c r="D254" s="3" t="s">
        <v>683</v>
      </c>
      <c r="E254" s="3">
        <v>9</v>
      </c>
      <c r="F254" s="2" t="s">
        <v>701</v>
      </c>
      <c r="G254" s="2" t="s">
        <v>43</v>
      </c>
      <c r="H254" s="4">
        <v>36155</v>
      </c>
      <c r="I254" s="3" t="s">
        <v>15</v>
      </c>
    </row>
    <row r="255" spans="1:9" x14ac:dyDescent="0.25">
      <c r="A255" s="8" t="s">
        <v>702</v>
      </c>
      <c r="B255" s="8" t="s">
        <v>681</v>
      </c>
      <c r="C255" s="8" t="s">
        <v>682</v>
      </c>
      <c r="D255" s="9" t="s">
        <v>683</v>
      </c>
      <c r="E255" s="9">
        <v>10</v>
      </c>
      <c r="F255" s="8" t="s">
        <v>703</v>
      </c>
      <c r="G255" s="8" t="s">
        <v>704</v>
      </c>
      <c r="H255" s="10">
        <v>36917</v>
      </c>
      <c r="I255" s="9" t="s">
        <v>25</v>
      </c>
    </row>
    <row r="256" spans="1:9" x14ac:dyDescent="0.25">
      <c r="A256" s="2" t="s">
        <v>705</v>
      </c>
      <c r="B256" s="2" t="s">
        <v>681</v>
      </c>
      <c r="C256" s="2" t="s">
        <v>682</v>
      </c>
      <c r="D256" s="3" t="s">
        <v>683</v>
      </c>
      <c r="E256" s="3">
        <v>11</v>
      </c>
      <c r="F256" s="2" t="s">
        <v>706</v>
      </c>
      <c r="G256" s="2" t="s">
        <v>157</v>
      </c>
      <c r="H256" s="4">
        <v>3988</v>
      </c>
      <c r="I256" s="3" t="s">
        <v>15</v>
      </c>
    </row>
    <row r="257" spans="1:9" x14ac:dyDescent="0.25">
      <c r="A257" s="5" t="s">
        <v>707</v>
      </c>
      <c r="B257" s="5" t="s">
        <v>681</v>
      </c>
      <c r="C257" s="5" t="s">
        <v>682</v>
      </c>
      <c r="D257" s="6" t="s">
        <v>683</v>
      </c>
      <c r="E257" s="6">
        <v>12</v>
      </c>
      <c r="F257" s="5" t="s">
        <v>708</v>
      </c>
      <c r="G257" s="5" t="s">
        <v>129</v>
      </c>
      <c r="H257" s="7">
        <v>4396</v>
      </c>
      <c r="I257" s="6" t="s">
        <v>15</v>
      </c>
    </row>
    <row r="258" spans="1:9" x14ac:dyDescent="0.25">
      <c r="A258" s="2" t="s">
        <v>709</v>
      </c>
      <c r="B258" s="2" t="s">
        <v>681</v>
      </c>
      <c r="C258" s="2" t="s">
        <v>682</v>
      </c>
      <c r="D258" s="3" t="s">
        <v>683</v>
      </c>
      <c r="E258" s="3">
        <v>13</v>
      </c>
      <c r="F258" s="2" t="s">
        <v>710</v>
      </c>
      <c r="G258" s="2" t="s">
        <v>18</v>
      </c>
      <c r="H258" s="4">
        <v>8052</v>
      </c>
      <c r="I258" s="3" t="s">
        <v>15</v>
      </c>
    </row>
    <row r="259" spans="1:9" x14ac:dyDescent="0.25">
      <c r="A259" s="5" t="s">
        <v>711</v>
      </c>
      <c r="B259" s="5" t="s">
        <v>681</v>
      </c>
      <c r="C259" s="5" t="s">
        <v>682</v>
      </c>
      <c r="D259" s="6" t="s">
        <v>683</v>
      </c>
      <c r="E259" s="6">
        <v>14</v>
      </c>
      <c r="F259" s="5" t="s">
        <v>712</v>
      </c>
      <c r="G259" s="5" t="s">
        <v>160</v>
      </c>
      <c r="H259" s="7">
        <v>290</v>
      </c>
      <c r="I259" s="6" t="s">
        <v>15</v>
      </c>
    </row>
    <row r="260" spans="1:9" x14ac:dyDescent="0.25">
      <c r="A260" s="2" t="s">
        <v>713</v>
      </c>
      <c r="B260" s="2" t="s">
        <v>714</v>
      </c>
      <c r="C260" s="2" t="s">
        <v>715</v>
      </c>
      <c r="D260" s="3" t="s">
        <v>716</v>
      </c>
      <c r="E260" s="3">
        <v>1</v>
      </c>
      <c r="F260" s="2" t="s">
        <v>717</v>
      </c>
      <c r="G260" s="2" t="s">
        <v>14</v>
      </c>
      <c r="H260" s="4">
        <v>346</v>
      </c>
      <c r="I260" s="3" t="s">
        <v>15</v>
      </c>
    </row>
    <row r="261" spans="1:9" x14ac:dyDescent="0.25">
      <c r="A261" s="5" t="s">
        <v>718</v>
      </c>
      <c r="B261" s="5" t="s">
        <v>714</v>
      </c>
      <c r="C261" s="5" t="s">
        <v>715</v>
      </c>
      <c r="D261" s="6" t="s">
        <v>716</v>
      </c>
      <c r="E261" s="6">
        <v>2</v>
      </c>
      <c r="F261" s="5" t="s">
        <v>719</v>
      </c>
      <c r="G261" s="5" t="s">
        <v>31</v>
      </c>
      <c r="H261" s="7">
        <v>2447</v>
      </c>
      <c r="I261" s="6" t="s">
        <v>15</v>
      </c>
    </row>
    <row r="262" spans="1:9" x14ac:dyDescent="0.25">
      <c r="A262" s="8" t="s">
        <v>720</v>
      </c>
      <c r="B262" s="8" t="s">
        <v>714</v>
      </c>
      <c r="C262" s="8" t="s">
        <v>715</v>
      </c>
      <c r="D262" s="9" t="s">
        <v>716</v>
      </c>
      <c r="E262" s="9">
        <v>3</v>
      </c>
      <c r="F262" s="8" t="s">
        <v>721</v>
      </c>
      <c r="G262" s="8" t="s">
        <v>722</v>
      </c>
      <c r="H262" s="10">
        <v>30090</v>
      </c>
      <c r="I262" s="9" t="s">
        <v>25</v>
      </c>
    </row>
    <row r="263" spans="1:9" x14ac:dyDescent="0.25">
      <c r="A263" s="5" t="s">
        <v>723</v>
      </c>
      <c r="B263" s="5" t="s">
        <v>714</v>
      </c>
      <c r="C263" s="5" t="s">
        <v>715</v>
      </c>
      <c r="D263" s="6" t="s">
        <v>716</v>
      </c>
      <c r="E263" s="6">
        <v>4</v>
      </c>
      <c r="F263" s="5" t="s">
        <v>724</v>
      </c>
      <c r="G263" s="5" t="s">
        <v>725</v>
      </c>
      <c r="H263" s="7">
        <v>21198</v>
      </c>
      <c r="I263" s="6" t="s">
        <v>15</v>
      </c>
    </row>
    <row r="264" spans="1:9" x14ac:dyDescent="0.25">
      <c r="A264" s="2" t="s">
        <v>726</v>
      </c>
      <c r="B264" s="2" t="s">
        <v>714</v>
      </c>
      <c r="C264" s="2" t="s">
        <v>715</v>
      </c>
      <c r="D264" s="3" t="s">
        <v>716</v>
      </c>
      <c r="E264" s="3">
        <v>5</v>
      </c>
      <c r="F264" s="2" t="s">
        <v>727</v>
      </c>
      <c r="G264" s="2" t="s">
        <v>154</v>
      </c>
      <c r="H264" s="4">
        <v>218</v>
      </c>
      <c r="I264" s="3" t="s">
        <v>15</v>
      </c>
    </row>
    <row r="265" spans="1:9" x14ac:dyDescent="0.25">
      <c r="A265" s="5" t="s">
        <v>728</v>
      </c>
      <c r="B265" s="5" t="s">
        <v>714</v>
      </c>
      <c r="C265" s="5" t="s">
        <v>715</v>
      </c>
      <c r="D265" s="6" t="s">
        <v>716</v>
      </c>
      <c r="E265" s="6">
        <v>6</v>
      </c>
      <c r="F265" s="5" t="s">
        <v>729</v>
      </c>
      <c r="G265" s="5" t="s">
        <v>730</v>
      </c>
      <c r="H265" s="7">
        <v>26833</v>
      </c>
      <c r="I265" s="6" t="s">
        <v>15</v>
      </c>
    </row>
    <row r="266" spans="1:9" x14ac:dyDescent="0.25">
      <c r="A266" s="8" t="s">
        <v>731</v>
      </c>
      <c r="B266" s="8" t="s">
        <v>732</v>
      </c>
      <c r="C266" s="8" t="s">
        <v>733</v>
      </c>
      <c r="D266" s="9" t="s">
        <v>734</v>
      </c>
      <c r="E266" s="9">
        <v>1</v>
      </c>
      <c r="F266" s="8" t="s">
        <v>735</v>
      </c>
      <c r="G266" s="8" t="s">
        <v>80</v>
      </c>
      <c r="H266" s="10">
        <v>85504</v>
      </c>
      <c r="I266" s="32" t="s">
        <v>25</v>
      </c>
    </row>
    <row r="267" spans="1:9" s="36" customFormat="1" x14ac:dyDescent="0.25">
      <c r="A267" s="2" t="s">
        <v>736</v>
      </c>
      <c r="B267" s="2" t="s">
        <v>732</v>
      </c>
      <c r="C267" s="2" t="s">
        <v>733</v>
      </c>
      <c r="D267" s="3" t="s">
        <v>734</v>
      </c>
      <c r="E267" s="3">
        <v>2</v>
      </c>
      <c r="F267" s="2" t="s">
        <v>737</v>
      </c>
      <c r="G267" s="2" t="s">
        <v>738</v>
      </c>
      <c r="H267" s="4">
        <v>85372</v>
      </c>
      <c r="I267" s="3" t="s">
        <v>15</v>
      </c>
    </row>
    <row r="268" spans="1:9" x14ac:dyDescent="0.25">
      <c r="A268" s="2" t="s">
        <v>739</v>
      </c>
      <c r="B268" s="2" t="s">
        <v>732</v>
      </c>
      <c r="C268" s="2" t="s">
        <v>733</v>
      </c>
      <c r="D268" s="3" t="s">
        <v>734</v>
      </c>
      <c r="E268" s="3">
        <v>3</v>
      </c>
      <c r="F268" s="2" t="s">
        <v>740</v>
      </c>
      <c r="G268" s="2" t="s">
        <v>741</v>
      </c>
      <c r="H268" s="4">
        <v>16097</v>
      </c>
      <c r="I268" s="3" t="s">
        <v>15</v>
      </c>
    </row>
    <row r="269" spans="1:9" x14ac:dyDescent="0.25">
      <c r="A269" s="5" t="s">
        <v>739</v>
      </c>
      <c r="B269" s="5" t="s">
        <v>732</v>
      </c>
      <c r="C269" s="5" t="s">
        <v>733</v>
      </c>
      <c r="D269" s="6" t="s">
        <v>734</v>
      </c>
      <c r="E269" s="6">
        <v>3</v>
      </c>
      <c r="F269" s="5" t="s">
        <v>740</v>
      </c>
      <c r="G269" s="5" t="s">
        <v>741</v>
      </c>
      <c r="H269" s="7">
        <v>16097</v>
      </c>
      <c r="I269" s="6" t="s">
        <v>15</v>
      </c>
    </row>
    <row r="270" spans="1:9" x14ac:dyDescent="0.25">
      <c r="A270" s="2" t="s">
        <v>742</v>
      </c>
      <c r="B270" s="2" t="s">
        <v>732</v>
      </c>
      <c r="C270" s="2" t="s">
        <v>733</v>
      </c>
      <c r="D270" s="3" t="s">
        <v>734</v>
      </c>
      <c r="E270" s="3">
        <v>4</v>
      </c>
      <c r="F270" s="2" t="s">
        <v>743</v>
      </c>
      <c r="G270" s="2" t="s">
        <v>31</v>
      </c>
      <c r="H270" s="4">
        <v>5729</v>
      </c>
      <c r="I270" s="3" t="s">
        <v>15</v>
      </c>
    </row>
    <row r="271" spans="1:9" x14ac:dyDescent="0.25">
      <c r="A271" s="5" t="s">
        <v>742</v>
      </c>
      <c r="B271" s="5" t="s">
        <v>732</v>
      </c>
      <c r="C271" s="5" t="s">
        <v>733</v>
      </c>
      <c r="D271" s="6" t="s">
        <v>734</v>
      </c>
      <c r="E271" s="6">
        <v>4</v>
      </c>
      <c r="F271" s="5" t="s">
        <v>743</v>
      </c>
      <c r="G271" s="5" t="s">
        <v>31</v>
      </c>
      <c r="H271" s="7">
        <v>5729</v>
      </c>
      <c r="I271" s="6" t="s">
        <v>15</v>
      </c>
    </row>
    <row r="272" spans="1:9" x14ac:dyDescent="0.25">
      <c r="A272" s="2" t="s">
        <v>744</v>
      </c>
      <c r="B272" s="2" t="s">
        <v>732</v>
      </c>
      <c r="C272" s="2" t="s">
        <v>733</v>
      </c>
      <c r="D272" s="3" t="s">
        <v>734</v>
      </c>
      <c r="E272" s="3">
        <v>5</v>
      </c>
      <c r="F272" s="2" t="s">
        <v>745</v>
      </c>
      <c r="G272" s="2" t="s">
        <v>37</v>
      </c>
      <c r="H272" s="4">
        <v>1871</v>
      </c>
      <c r="I272" s="3" t="s">
        <v>15</v>
      </c>
    </row>
    <row r="273" spans="1:9" x14ac:dyDescent="0.25">
      <c r="A273" s="5" t="s">
        <v>744</v>
      </c>
      <c r="B273" s="5" t="s">
        <v>732</v>
      </c>
      <c r="C273" s="5" t="s">
        <v>733</v>
      </c>
      <c r="D273" s="6" t="s">
        <v>734</v>
      </c>
      <c r="E273" s="6">
        <v>5</v>
      </c>
      <c r="F273" s="5" t="s">
        <v>745</v>
      </c>
      <c r="G273" s="5" t="s">
        <v>37</v>
      </c>
      <c r="H273" s="7">
        <v>1871</v>
      </c>
      <c r="I273" s="6" t="s">
        <v>15</v>
      </c>
    </row>
    <row r="274" spans="1:9" x14ac:dyDescent="0.25">
      <c r="A274" s="2" t="s">
        <v>746</v>
      </c>
      <c r="B274" s="2" t="s">
        <v>732</v>
      </c>
      <c r="C274" s="2" t="s">
        <v>733</v>
      </c>
      <c r="D274" s="3" t="s">
        <v>734</v>
      </c>
      <c r="E274" s="3">
        <v>6</v>
      </c>
      <c r="F274" s="2" t="s">
        <v>747</v>
      </c>
      <c r="G274" s="2" t="s">
        <v>748</v>
      </c>
      <c r="H274" s="4">
        <v>1400</v>
      </c>
      <c r="I274" s="3" t="s">
        <v>15</v>
      </c>
    </row>
    <row r="275" spans="1:9" x14ac:dyDescent="0.25">
      <c r="A275" s="5" t="s">
        <v>746</v>
      </c>
      <c r="B275" s="5" t="s">
        <v>732</v>
      </c>
      <c r="C275" s="5" t="s">
        <v>733</v>
      </c>
      <c r="D275" s="6" t="s">
        <v>734</v>
      </c>
      <c r="E275" s="6">
        <v>6</v>
      </c>
      <c r="F275" s="5" t="s">
        <v>747</v>
      </c>
      <c r="G275" s="5" t="s">
        <v>748</v>
      </c>
      <c r="H275" s="7">
        <v>1400</v>
      </c>
      <c r="I275" s="6" t="s">
        <v>15</v>
      </c>
    </row>
    <row r="276" spans="1:9" x14ac:dyDescent="0.25">
      <c r="A276" s="2" t="s">
        <v>749</v>
      </c>
      <c r="B276" s="2" t="s">
        <v>732</v>
      </c>
      <c r="C276" s="2" t="s">
        <v>733</v>
      </c>
      <c r="D276" s="3" t="s">
        <v>734</v>
      </c>
      <c r="E276" s="3">
        <v>7</v>
      </c>
      <c r="F276" s="2" t="s">
        <v>750</v>
      </c>
      <c r="G276" s="2" t="s">
        <v>14</v>
      </c>
      <c r="H276" s="4">
        <v>1361</v>
      </c>
      <c r="I276" s="3" t="s">
        <v>15</v>
      </c>
    </row>
    <row r="277" spans="1:9" x14ac:dyDescent="0.25">
      <c r="A277" s="5" t="s">
        <v>749</v>
      </c>
      <c r="B277" s="5" t="s">
        <v>732</v>
      </c>
      <c r="C277" s="5" t="s">
        <v>733</v>
      </c>
      <c r="D277" s="6" t="s">
        <v>734</v>
      </c>
      <c r="E277" s="6">
        <v>7</v>
      </c>
      <c r="F277" s="5" t="s">
        <v>750</v>
      </c>
      <c r="G277" s="5" t="s">
        <v>14</v>
      </c>
      <c r="H277" s="7">
        <v>1361</v>
      </c>
      <c r="I277" s="6" t="s">
        <v>15</v>
      </c>
    </row>
    <row r="278" spans="1:9" x14ac:dyDescent="0.25">
      <c r="A278" s="2" t="s">
        <v>751</v>
      </c>
      <c r="B278" s="2" t="s">
        <v>732</v>
      </c>
      <c r="C278" s="2" t="s">
        <v>733</v>
      </c>
      <c r="D278" s="3" t="s">
        <v>734</v>
      </c>
      <c r="E278" s="3">
        <v>8</v>
      </c>
      <c r="F278" s="2" t="s">
        <v>752</v>
      </c>
      <c r="G278" s="2" t="s">
        <v>34</v>
      </c>
      <c r="H278" s="4">
        <v>1192</v>
      </c>
      <c r="I278" s="3" t="s">
        <v>15</v>
      </c>
    </row>
    <row r="279" spans="1:9" x14ac:dyDescent="0.25">
      <c r="A279" s="5" t="s">
        <v>751</v>
      </c>
      <c r="B279" s="5" t="s">
        <v>732</v>
      </c>
      <c r="C279" s="5" t="s">
        <v>733</v>
      </c>
      <c r="D279" s="6" t="s">
        <v>734</v>
      </c>
      <c r="E279" s="6">
        <v>8</v>
      </c>
      <c r="F279" s="5" t="s">
        <v>752</v>
      </c>
      <c r="G279" s="5" t="s">
        <v>34</v>
      </c>
      <c r="H279" s="7">
        <v>1192</v>
      </c>
      <c r="I279" s="6" t="s">
        <v>15</v>
      </c>
    </row>
    <row r="280" spans="1:9" x14ac:dyDescent="0.25">
      <c r="A280" s="2" t="s">
        <v>753</v>
      </c>
      <c r="B280" s="2" t="s">
        <v>732</v>
      </c>
      <c r="C280" s="2" t="s">
        <v>733</v>
      </c>
      <c r="D280" s="3" t="s">
        <v>734</v>
      </c>
      <c r="E280" s="3">
        <v>9</v>
      </c>
      <c r="F280" s="2" t="s">
        <v>754</v>
      </c>
      <c r="G280" s="2" t="s">
        <v>126</v>
      </c>
      <c r="H280" s="4">
        <v>756</v>
      </c>
      <c r="I280" s="3" t="s">
        <v>15</v>
      </c>
    </row>
    <row r="281" spans="1:9" x14ac:dyDescent="0.25">
      <c r="A281" s="5" t="s">
        <v>753</v>
      </c>
      <c r="B281" s="5" t="s">
        <v>732</v>
      </c>
      <c r="C281" s="5" t="s">
        <v>733</v>
      </c>
      <c r="D281" s="6" t="s">
        <v>734</v>
      </c>
      <c r="E281" s="6">
        <v>9</v>
      </c>
      <c r="F281" s="5" t="s">
        <v>754</v>
      </c>
      <c r="G281" s="5" t="s">
        <v>126</v>
      </c>
      <c r="H281" s="7">
        <v>756</v>
      </c>
      <c r="I281" s="6" t="s">
        <v>15</v>
      </c>
    </row>
    <row r="282" spans="1:9" x14ac:dyDescent="0.25">
      <c r="A282" s="2" t="s">
        <v>755</v>
      </c>
      <c r="B282" s="2" t="s">
        <v>756</v>
      </c>
      <c r="C282" s="2" t="s">
        <v>757</v>
      </c>
      <c r="D282" s="3" t="s">
        <v>758</v>
      </c>
      <c r="E282" s="3">
        <v>1</v>
      </c>
      <c r="F282" s="2" t="s">
        <v>759</v>
      </c>
      <c r="G282" s="2" t="s">
        <v>40</v>
      </c>
      <c r="H282" s="4">
        <v>12363</v>
      </c>
      <c r="I282" s="3" t="s">
        <v>15</v>
      </c>
    </row>
    <row r="283" spans="1:9" x14ac:dyDescent="0.25">
      <c r="A283" s="5" t="s">
        <v>760</v>
      </c>
      <c r="B283" s="5" t="s">
        <v>756</v>
      </c>
      <c r="C283" s="5" t="s">
        <v>757</v>
      </c>
      <c r="D283" s="6" t="s">
        <v>758</v>
      </c>
      <c r="E283" s="6">
        <v>2</v>
      </c>
      <c r="F283" s="5" t="s">
        <v>761</v>
      </c>
      <c r="G283" s="5" t="s">
        <v>14</v>
      </c>
      <c r="H283" s="7">
        <v>618</v>
      </c>
      <c r="I283" s="6" t="s">
        <v>15</v>
      </c>
    </row>
    <row r="284" spans="1:9" x14ac:dyDescent="0.25">
      <c r="A284" s="2" t="s">
        <v>762</v>
      </c>
      <c r="B284" s="2" t="s">
        <v>756</v>
      </c>
      <c r="C284" s="2" t="s">
        <v>757</v>
      </c>
      <c r="D284" s="3" t="s">
        <v>758</v>
      </c>
      <c r="E284" s="3">
        <v>3</v>
      </c>
      <c r="F284" s="2" t="s">
        <v>763</v>
      </c>
      <c r="G284" s="2" t="s">
        <v>18</v>
      </c>
      <c r="H284" s="4">
        <v>38152</v>
      </c>
      <c r="I284" s="3" t="s">
        <v>15</v>
      </c>
    </row>
    <row r="285" spans="1:9" x14ac:dyDescent="0.25">
      <c r="A285" s="5" t="s">
        <v>764</v>
      </c>
      <c r="B285" s="5" t="s">
        <v>756</v>
      </c>
      <c r="C285" s="5" t="s">
        <v>757</v>
      </c>
      <c r="D285" s="6" t="s">
        <v>758</v>
      </c>
      <c r="E285" s="6">
        <v>4</v>
      </c>
      <c r="F285" s="5" t="s">
        <v>765</v>
      </c>
      <c r="G285" s="5" t="s">
        <v>63</v>
      </c>
      <c r="H285" s="7">
        <v>1419</v>
      </c>
      <c r="I285" s="6" t="s">
        <v>15</v>
      </c>
    </row>
    <row r="286" spans="1:9" x14ac:dyDescent="0.25">
      <c r="A286" s="2" t="s">
        <v>766</v>
      </c>
      <c r="B286" s="2" t="s">
        <v>756</v>
      </c>
      <c r="C286" s="2" t="s">
        <v>757</v>
      </c>
      <c r="D286" s="3" t="s">
        <v>758</v>
      </c>
      <c r="E286" s="3">
        <v>5</v>
      </c>
      <c r="F286" s="2" t="s">
        <v>767</v>
      </c>
      <c r="G286" s="2" t="s">
        <v>768</v>
      </c>
      <c r="H286" s="4">
        <v>1770</v>
      </c>
      <c r="I286" s="3" t="s">
        <v>15</v>
      </c>
    </row>
    <row r="287" spans="1:9" x14ac:dyDescent="0.25">
      <c r="A287" s="5" t="s">
        <v>769</v>
      </c>
      <c r="B287" s="5" t="s">
        <v>756</v>
      </c>
      <c r="C287" s="5" t="s">
        <v>757</v>
      </c>
      <c r="D287" s="6" t="s">
        <v>758</v>
      </c>
      <c r="E287" s="6">
        <v>6</v>
      </c>
      <c r="F287" s="5" t="s">
        <v>770</v>
      </c>
      <c r="G287" s="5" t="s">
        <v>31</v>
      </c>
      <c r="H287" s="7">
        <v>646</v>
      </c>
      <c r="I287" s="6" t="s">
        <v>15</v>
      </c>
    </row>
    <row r="288" spans="1:9" x14ac:dyDescent="0.25">
      <c r="A288" s="2" t="s">
        <v>771</v>
      </c>
      <c r="B288" s="2" t="s">
        <v>756</v>
      </c>
      <c r="C288" s="2" t="s">
        <v>757</v>
      </c>
      <c r="D288" s="3" t="s">
        <v>758</v>
      </c>
      <c r="E288" s="3">
        <v>7</v>
      </c>
      <c r="F288" s="2" t="s">
        <v>772</v>
      </c>
      <c r="G288" s="2" t="s">
        <v>773</v>
      </c>
      <c r="H288" s="4">
        <v>1183</v>
      </c>
      <c r="I288" s="3" t="s">
        <v>15</v>
      </c>
    </row>
    <row r="289" spans="1:9" x14ac:dyDescent="0.25">
      <c r="A289" s="5" t="s">
        <v>774</v>
      </c>
      <c r="B289" s="5" t="s">
        <v>756</v>
      </c>
      <c r="C289" s="5" t="s">
        <v>757</v>
      </c>
      <c r="D289" s="6" t="s">
        <v>758</v>
      </c>
      <c r="E289" s="6">
        <v>8</v>
      </c>
      <c r="F289" s="5" t="s">
        <v>775</v>
      </c>
      <c r="G289" s="5" t="s">
        <v>154</v>
      </c>
      <c r="H289" s="7">
        <v>166</v>
      </c>
      <c r="I289" s="6" t="s">
        <v>15</v>
      </c>
    </row>
    <row r="290" spans="1:9" x14ac:dyDescent="0.25">
      <c r="A290" s="2" t="s">
        <v>776</v>
      </c>
      <c r="B290" s="2" t="s">
        <v>756</v>
      </c>
      <c r="C290" s="2" t="s">
        <v>757</v>
      </c>
      <c r="D290" s="3" t="s">
        <v>758</v>
      </c>
      <c r="E290" s="3">
        <v>9</v>
      </c>
      <c r="F290" s="2" t="s">
        <v>777</v>
      </c>
      <c r="G290" s="2" t="s">
        <v>80</v>
      </c>
      <c r="H290" s="4">
        <v>1251</v>
      </c>
      <c r="I290" s="3" t="s">
        <v>15</v>
      </c>
    </row>
    <row r="291" spans="1:9" x14ac:dyDescent="0.25">
      <c r="A291" s="5" t="s">
        <v>778</v>
      </c>
      <c r="B291" s="5" t="s">
        <v>756</v>
      </c>
      <c r="C291" s="5" t="s">
        <v>757</v>
      </c>
      <c r="D291" s="6" t="s">
        <v>758</v>
      </c>
      <c r="E291" s="6">
        <v>10</v>
      </c>
      <c r="F291" s="5" t="s">
        <v>779</v>
      </c>
      <c r="G291" s="5" t="s">
        <v>780</v>
      </c>
      <c r="H291" s="7">
        <v>4374</v>
      </c>
      <c r="I291" s="6" t="s">
        <v>15</v>
      </c>
    </row>
    <row r="292" spans="1:9" x14ac:dyDescent="0.25">
      <c r="A292" s="2" t="s">
        <v>781</v>
      </c>
      <c r="B292" s="2" t="s">
        <v>756</v>
      </c>
      <c r="C292" s="2" t="s">
        <v>757</v>
      </c>
      <c r="D292" s="3" t="s">
        <v>758</v>
      </c>
      <c r="E292" s="3">
        <v>11</v>
      </c>
      <c r="F292" s="2" t="s">
        <v>782</v>
      </c>
      <c r="G292" s="2" t="s">
        <v>137</v>
      </c>
      <c r="H292" s="4">
        <v>177</v>
      </c>
      <c r="I292" s="3" t="s">
        <v>15</v>
      </c>
    </row>
    <row r="293" spans="1:9" x14ac:dyDescent="0.25">
      <c r="A293" s="5" t="s">
        <v>783</v>
      </c>
      <c r="B293" s="5" t="s">
        <v>756</v>
      </c>
      <c r="C293" s="5" t="s">
        <v>757</v>
      </c>
      <c r="D293" s="6" t="s">
        <v>758</v>
      </c>
      <c r="E293" s="6">
        <v>12</v>
      </c>
      <c r="F293" s="5" t="s">
        <v>784</v>
      </c>
      <c r="G293" s="5" t="s">
        <v>37</v>
      </c>
      <c r="H293" s="7">
        <v>735</v>
      </c>
      <c r="I293" s="6" t="s">
        <v>15</v>
      </c>
    </row>
    <row r="294" spans="1:9" x14ac:dyDescent="0.25">
      <c r="A294" s="2" t="s">
        <v>785</v>
      </c>
      <c r="B294" s="2" t="s">
        <v>756</v>
      </c>
      <c r="C294" s="2" t="s">
        <v>757</v>
      </c>
      <c r="D294" s="3" t="s">
        <v>758</v>
      </c>
      <c r="E294" s="3">
        <v>13</v>
      </c>
      <c r="F294" s="2" t="s">
        <v>786</v>
      </c>
      <c r="G294" s="2" t="s">
        <v>126</v>
      </c>
      <c r="H294" s="4">
        <v>444</v>
      </c>
      <c r="I294" s="3" t="s">
        <v>15</v>
      </c>
    </row>
    <row r="295" spans="1:9" x14ac:dyDescent="0.25">
      <c r="A295" s="8" t="s">
        <v>787</v>
      </c>
      <c r="B295" s="8" t="s">
        <v>756</v>
      </c>
      <c r="C295" s="8" t="s">
        <v>757</v>
      </c>
      <c r="D295" s="9" t="s">
        <v>758</v>
      </c>
      <c r="E295" s="9">
        <v>14</v>
      </c>
      <c r="F295" s="8" t="s">
        <v>788</v>
      </c>
      <c r="G295" s="8" t="s">
        <v>157</v>
      </c>
      <c r="H295" s="10">
        <v>78838</v>
      </c>
      <c r="I295" s="9" t="s">
        <v>25</v>
      </c>
    </row>
    <row r="296" spans="1:9" x14ac:dyDescent="0.25">
      <c r="A296" s="2" t="s">
        <v>789</v>
      </c>
      <c r="B296" s="2" t="s">
        <v>790</v>
      </c>
      <c r="C296" s="2" t="s">
        <v>791</v>
      </c>
      <c r="D296" s="3" t="s">
        <v>792</v>
      </c>
      <c r="E296" s="3">
        <v>1</v>
      </c>
      <c r="F296" s="2" t="s">
        <v>793</v>
      </c>
      <c r="G296" s="2" t="s">
        <v>71</v>
      </c>
      <c r="H296" s="4">
        <v>0</v>
      </c>
      <c r="I296" s="3" t="s">
        <v>15</v>
      </c>
    </row>
    <row r="297" spans="1:9" x14ac:dyDescent="0.25">
      <c r="A297" s="5" t="s">
        <v>794</v>
      </c>
      <c r="B297" s="5" t="s">
        <v>790</v>
      </c>
      <c r="C297" s="5" t="s">
        <v>791</v>
      </c>
      <c r="D297" s="6" t="s">
        <v>792</v>
      </c>
      <c r="E297" s="6">
        <v>2</v>
      </c>
      <c r="F297" s="5" t="s">
        <v>795</v>
      </c>
      <c r="G297" s="5" t="s">
        <v>796</v>
      </c>
      <c r="H297" s="7">
        <v>1081</v>
      </c>
      <c r="I297" s="6" t="s">
        <v>15</v>
      </c>
    </row>
    <row r="298" spans="1:9" x14ac:dyDescent="0.25">
      <c r="A298" s="2" t="s">
        <v>797</v>
      </c>
      <c r="B298" s="2" t="s">
        <v>790</v>
      </c>
      <c r="C298" s="2" t="s">
        <v>791</v>
      </c>
      <c r="D298" s="3" t="s">
        <v>792</v>
      </c>
      <c r="E298" s="3">
        <v>3</v>
      </c>
      <c r="F298" s="2" t="s">
        <v>798</v>
      </c>
      <c r="G298" s="2" t="s">
        <v>14</v>
      </c>
      <c r="H298" s="4">
        <v>0</v>
      </c>
      <c r="I298" s="3" t="s">
        <v>15</v>
      </c>
    </row>
    <row r="299" spans="1:9" x14ac:dyDescent="0.25">
      <c r="A299" s="5" t="s">
        <v>799</v>
      </c>
      <c r="B299" s="5" t="s">
        <v>790</v>
      </c>
      <c r="C299" s="5" t="s">
        <v>791</v>
      </c>
      <c r="D299" s="6" t="s">
        <v>792</v>
      </c>
      <c r="E299" s="6">
        <v>4</v>
      </c>
      <c r="F299" s="5" t="s">
        <v>800</v>
      </c>
      <c r="G299" s="5" t="s">
        <v>801</v>
      </c>
      <c r="H299" s="7">
        <v>0</v>
      </c>
      <c r="I299" s="6" t="s">
        <v>15</v>
      </c>
    </row>
    <row r="300" spans="1:9" x14ac:dyDescent="0.25">
      <c r="A300" s="2" t="s">
        <v>802</v>
      </c>
      <c r="B300" s="2" t="s">
        <v>790</v>
      </c>
      <c r="C300" s="2" t="s">
        <v>791</v>
      </c>
      <c r="D300" s="3" t="s">
        <v>792</v>
      </c>
      <c r="E300" s="3">
        <v>5</v>
      </c>
      <c r="F300" s="2" t="s">
        <v>803</v>
      </c>
      <c r="G300" s="2" t="s">
        <v>80</v>
      </c>
      <c r="H300" s="4">
        <v>0</v>
      </c>
      <c r="I300" s="3" t="s">
        <v>15</v>
      </c>
    </row>
    <row r="301" spans="1:9" x14ac:dyDescent="0.25">
      <c r="A301" s="8" t="s">
        <v>804</v>
      </c>
      <c r="B301" s="8" t="s">
        <v>790</v>
      </c>
      <c r="C301" s="8" t="s">
        <v>791</v>
      </c>
      <c r="D301" s="9" t="s">
        <v>792</v>
      </c>
      <c r="E301" s="9">
        <v>6</v>
      </c>
      <c r="F301" s="8" t="s">
        <v>805</v>
      </c>
      <c r="G301" s="8" t="s">
        <v>806</v>
      </c>
      <c r="H301" s="10">
        <v>62960</v>
      </c>
      <c r="I301" s="9" t="s">
        <v>25</v>
      </c>
    </row>
    <row r="302" spans="1:9" x14ac:dyDescent="0.25">
      <c r="A302" s="2" t="s">
        <v>807</v>
      </c>
      <c r="B302" s="2" t="s">
        <v>790</v>
      </c>
      <c r="C302" s="2" t="s">
        <v>791</v>
      </c>
      <c r="D302" s="3" t="s">
        <v>792</v>
      </c>
      <c r="E302" s="3">
        <v>7</v>
      </c>
      <c r="F302" s="2" t="s">
        <v>808</v>
      </c>
      <c r="G302" s="2" t="s">
        <v>809</v>
      </c>
      <c r="H302" s="4">
        <v>19497</v>
      </c>
      <c r="I302" s="3" t="s">
        <v>15</v>
      </c>
    </row>
    <row r="303" spans="1:9" x14ac:dyDescent="0.25">
      <c r="A303" s="5" t="s">
        <v>810</v>
      </c>
      <c r="B303" s="5" t="s">
        <v>790</v>
      </c>
      <c r="C303" s="5" t="s">
        <v>791</v>
      </c>
      <c r="D303" s="6" t="s">
        <v>792</v>
      </c>
      <c r="E303" s="6">
        <v>8</v>
      </c>
      <c r="F303" s="5" t="s">
        <v>811</v>
      </c>
      <c r="G303" s="5" t="s">
        <v>812</v>
      </c>
      <c r="H303" s="7">
        <v>14881</v>
      </c>
      <c r="I303" s="6" t="s">
        <v>15</v>
      </c>
    </row>
    <row r="304" spans="1:9" x14ac:dyDescent="0.25">
      <c r="A304" s="2" t="s">
        <v>813</v>
      </c>
      <c r="B304" s="2" t="s">
        <v>790</v>
      </c>
      <c r="C304" s="2" t="s">
        <v>791</v>
      </c>
      <c r="D304" s="3" t="s">
        <v>792</v>
      </c>
      <c r="E304" s="3">
        <v>9</v>
      </c>
      <c r="F304" s="2" t="s">
        <v>814</v>
      </c>
      <c r="G304" s="2" t="s">
        <v>815</v>
      </c>
      <c r="H304" s="4">
        <v>53359</v>
      </c>
      <c r="I304" s="3" t="s">
        <v>15</v>
      </c>
    </row>
    <row r="305" spans="1:9" x14ac:dyDescent="0.25">
      <c r="A305" s="5" t="s">
        <v>816</v>
      </c>
      <c r="B305" s="5" t="s">
        <v>790</v>
      </c>
      <c r="C305" s="5" t="s">
        <v>791</v>
      </c>
      <c r="D305" s="6" t="s">
        <v>792</v>
      </c>
      <c r="E305" s="6">
        <v>10</v>
      </c>
      <c r="F305" s="5" t="s">
        <v>817</v>
      </c>
      <c r="G305" s="5" t="s">
        <v>31</v>
      </c>
      <c r="H305" s="7">
        <v>1482</v>
      </c>
      <c r="I305" s="6" t="s">
        <v>15</v>
      </c>
    </row>
    <row r="306" spans="1:9" x14ac:dyDescent="0.25">
      <c r="A306" s="2" t="s">
        <v>818</v>
      </c>
      <c r="B306" s="2" t="s">
        <v>819</v>
      </c>
      <c r="C306" s="2" t="s">
        <v>123</v>
      </c>
      <c r="D306" s="3" t="s">
        <v>820</v>
      </c>
      <c r="E306" s="3">
        <v>1</v>
      </c>
      <c r="F306" s="2" t="s">
        <v>821</v>
      </c>
      <c r="G306" s="2" t="s">
        <v>129</v>
      </c>
      <c r="H306" s="4">
        <v>54221</v>
      </c>
      <c r="I306" s="3" t="s">
        <v>15</v>
      </c>
    </row>
    <row r="307" spans="1:9" x14ac:dyDescent="0.25">
      <c r="A307" s="5" t="s">
        <v>822</v>
      </c>
      <c r="B307" s="5" t="s">
        <v>819</v>
      </c>
      <c r="C307" s="5" t="s">
        <v>123</v>
      </c>
      <c r="D307" s="6" t="s">
        <v>820</v>
      </c>
      <c r="E307" s="6">
        <v>2</v>
      </c>
      <c r="F307" s="5" t="s">
        <v>823</v>
      </c>
      <c r="G307" s="5" t="s">
        <v>18</v>
      </c>
      <c r="H307" s="7">
        <v>1367</v>
      </c>
      <c r="I307" s="6" t="s">
        <v>15</v>
      </c>
    </row>
    <row r="308" spans="1:9" x14ac:dyDescent="0.25">
      <c r="A308" s="2" t="s">
        <v>824</v>
      </c>
      <c r="B308" s="2" t="s">
        <v>819</v>
      </c>
      <c r="C308" s="2" t="s">
        <v>123</v>
      </c>
      <c r="D308" s="3" t="s">
        <v>820</v>
      </c>
      <c r="E308" s="3">
        <v>3</v>
      </c>
      <c r="F308" s="2" t="s">
        <v>825</v>
      </c>
      <c r="G308" s="2" t="s">
        <v>40</v>
      </c>
      <c r="H308" s="4">
        <v>484</v>
      </c>
      <c r="I308" s="3" t="s">
        <v>15</v>
      </c>
    </row>
    <row r="309" spans="1:9" x14ac:dyDescent="0.25">
      <c r="A309" s="5" t="s">
        <v>826</v>
      </c>
      <c r="B309" s="5" t="s">
        <v>819</v>
      </c>
      <c r="C309" s="5" t="s">
        <v>123</v>
      </c>
      <c r="D309" s="6" t="s">
        <v>820</v>
      </c>
      <c r="E309" s="6">
        <v>4</v>
      </c>
      <c r="F309" s="5" t="s">
        <v>827</v>
      </c>
      <c r="G309" s="5" t="s">
        <v>137</v>
      </c>
      <c r="H309" s="7">
        <v>1502</v>
      </c>
      <c r="I309" s="6" t="s">
        <v>15</v>
      </c>
    </row>
    <row r="310" spans="1:9" x14ac:dyDescent="0.25">
      <c r="A310" s="2" t="s">
        <v>828</v>
      </c>
      <c r="B310" s="2" t="s">
        <v>819</v>
      </c>
      <c r="C310" s="2" t="s">
        <v>123</v>
      </c>
      <c r="D310" s="3" t="s">
        <v>820</v>
      </c>
      <c r="E310" s="3">
        <v>5</v>
      </c>
      <c r="F310" s="2" t="s">
        <v>829</v>
      </c>
      <c r="G310" s="2" t="s">
        <v>14</v>
      </c>
      <c r="H310" s="4">
        <v>614</v>
      </c>
      <c r="I310" s="3" t="s">
        <v>15</v>
      </c>
    </row>
    <row r="311" spans="1:9" x14ac:dyDescent="0.25">
      <c r="A311" s="5" t="s">
        <v>830</v>
      </c>
      <c r="B311" s="5" t="s">
        <v>819</v>
      </c>
      <c r="C311" s="5" t="s">
        <v>123</v>
      </c>
      <c r="D311" s="6" t="s">
        <v>820</v>
      </c>
      <c r="E311" s="6">
        <v>6</v>
      </c>
      <c r="F311" s="5" t="s">
        <v>831</v>
      </c>
      <c r="G311" s="5" t="s">
        <v>37</v>
      </c>
      <c r="H311" s="7">
        <v>5215</v>
      </c>
      <c r="I311" s="6" t="s">
        <v>15</v>
      </c>
    </row>
    <row r="312" spans="1:9" x14ac:dyDescent="0.25">
      <c r="A312" s="8" t="s">
        <v>832</v>
      </c>
      <c r="B312" s="8" t="s">
        <v>819</v>
      </c>
      <c r="C312" s="8" t="s">
        <v>123</v>
      </c>
      <c r="D312" s="9" t="s">
        <v>820</v>
      </c>
      <c r="E312" s="9">
        <v>7</v>
      </c>
      <c r="F312" s="8" t="s">
        <v>833</v>
      </c>
      <c r="G312" s="8" t="s">
        <v>834</v>
      </c>
      <c r="H312" s="10">
        <v>85145</v>
      </c>
      <c r="I312" s="9" t="s">
        <v>25</v>
      </c>
    </row>
    <row r="313" spans="1:9" x14ac:dyDescent="0.25">
      <c r="A313" s="5" t="s">
        <v>835</v>
      </c>
      <c r="B313" s="5" t="s">
        <v>819</v>
      </c>
      <c r="C313" s="5" t="s">
        <v>123</v>
      </c>
      <c r="D313" s="6" t="s">
        <v>820</v>
      </c>
      <c r="E313" s="6">
        <v>8</v>
      </c>
      <c r="F313" s="5" t="s">
        <v>836</v>
      </c>
      <c r="G313" s="5" t="s">
        <v>63</v>
      </c>
      <c r="H313" s="7">
        <v>26451</v>
      </c>
      <c r="I313" s="6" t="s">
        <v>15</v>
      </c>
    </row>
    <row r="314" spans="1:9" x14ac:dyDescent="0.25">
      <c r="A314" s="2" t="s">
        <v>837</v>
      </c>
      <c r="B314" s="2" t="s">
        <v>819</v>
      </c>
      <c r="C314" s="2" t="s">
        <v>123</v>
      </c>
      <c r="D314" s="3" t="s">
        <v>820</v>
      </c>
      <c r="E314" s="3">
        <v>9</v>
      </c>
      <c r="F314" s="2" t="s">
        <v>838</v>
      </c>
      <c r="G314" s="2" t="s">
        <v>243</v>
      </c>
      <c r="H314" s="4">
        <v>1227</v>
      </c>
      <c r="I314" s="3" t="s">
        <v>15</v>
      </c>
    </row>
    <row r="315" spans="1:9" x14ac:dyDescent="0.25">
      <c r="A315" s="5" t="s">
        <v>839</v>
      </c>
      <c r="B315" s="5" t="s">
        <v>819</v>
      </c>
      <c r="C315" s="5" t="s">
        <v>123</v>
      </c>
      <c r="D315" s="6" t="s">
        <v>820</v>
      </c>
      <c r="E315" s="6">
        <v>10</v>
      </c>
      <c r="F315" s="5" t="s">
        <v>840</v>
      </c>
      <c r="G315" s="5" t="s">
        <v>252</v>
      </c>
      <c r="H315" s="7">
        <v>320</v>
      </c>
      <c r="I315" s="6" t="s">
        <v>15</v>
      </c>
    </row>
    <row r="316" spans="1:9" x14ac:dyDescent="0.25">
      <c r="A316" s="2" t="s">
        <v>841</v>
      </c>
      <c r="B316" s="2" t="s">
        <v>819</v>
      </c>
      <c r="C316" s="2" t="s">
        <v>123</v>
      </c>
      <c r="D316" s="3" t="s">
        <v>820</v>
      </c>
      <c r="E316" s="3">
        <v>11</v>
      </c>
      <c r="F316" s="2" t="s">
        <v>842</v>
      </c>
      <c r="G316" s="2" t="s">
        <v>144</v>
      </c>
      <c r="H316" s="4">
        <v>1221</v>
      </c>
      <c r="I316" s="3" t="s">
        <v>15</v>
      </c>
    </row>
    <row r="317" spans="1:9" x14ac:dyDescent="0.25">
      <c r="A317" s="5" t="s">
        <v>843</v>
      </c>
      <c r="B317" s="5" t="s">
        <v>844</v>
      </c>
      <c r="C317" s="5" t="s">
        <v>845</v>
      </c>
      <c r="D317" s="6" t="s">
        <v>846</v>
      </c>
      <c r="E317" s="6">
        <v>1</v>
      </c>
      <c r="F317" s="5" t="s">
        <v>847</v>
      </c>
      <c r="G317" s="5" t="s">
        <v>848</v>
      </c>
      <c r="H317" s="7">
        <v>11661</v>
      </c>
      <c r="I317" s="6" t="s">
        <v>15</v>
      </c>
    </row>
    <row r="318" spans="1:9" x14ac:dyDescent="0.25">
      <c r="A318" s="2" t="s">
        <v>849</v>
      </c>
      <c r="B318" s="2" t="s">
        <v>844</v>
      </c>
      <c r="C318" s="2" t="s">
        <v>845</v>
      </c>
      <c r="D318" s="3" t="s">
        <v>846</v>
      </c>
      <c r="E318" s="3">
        <v>2</v>
      </c>
      <c r="F318" s="2" t="s">
        <v>850</v>
      </c>
      <c r="G318" s="2" t="s">
        <v>160</v>
      </c>
      <c r="H318" s="4">
        <v>192</v>
      </c>
      <c r="I318" s="3" t="s">
        <v>15</v>
      </c>
    </row>
    <row r="319" spans="1:9" x14ac:dyDescent="0.25">
      <c r="A319" s="5" t="s">
        <v>851</v>
      </c>
      <c r="B319" s="5" t="s">
        <v>844</v>
      </c>
      <c r="C319" s="5" t="s">
        <v>845</v>
      </c>
      <c r="D319" s="6" t="s">
        <v>846</v>
      </c>
      <c r="E319" s="6">
        <v>3</v>
      </c>
      <c r="F319" s="5" t="s">
        <v>852</v>
      </c>
      <c r="G319" s="5" t="s">
        <v>112</v>
      </c>
      <c r="H319" s="7">
        <v>0</v>
      </c>
      <c r="I319" s="6" t="s">
        <v>15</v>
      </c>
    </row>
    <row r="320" spans="1:9" x14ac:dyDescent="0.25">
      <c r="A320" s="2" t="s">
        <v>853</v>
      </c>
      <c r="B320" s="2" t="s">
        <v>844</v>
      </c>
      <c r="C320" s="2" t="s">
        <v>845</v>
      </c>
      <c r="D320" s="3" t="s">
        <v>846</v>
      </c>
      <c r="E320" s="3">
        <v>4</v>
      </c>
      <c r="F320" s="2" t="s">
        <v>854</v>
      </c>
      <c r="G320" s="2" t="s">
        <v>80</v>
      </c>
      <c r="H320" s="4">
        <v>999</v>
      </c>
      <c r="I320" s="3" t="s">
        <v>15</v>
      </c>
    </row>
    <row r="321" spans="1:9" x14ac:dyDescent="0.25">
      <c r="A321" s="5" t="s">
        <v>855</v>
      </c>
      <c r="B321" s="5" t="s">
        <v>844</v>
      </c>
      <c r="C321" s="5" t="s">
        <v>845</v>
      </c>
      <c r="D321" s="6" t="s">
        <v>846</v>
      </c>
      <c r="E321" s="6">
        <v>5</v>
      </c>
      <c r="F321" s="5" t="s">
        <v>856</v>
      </c>
      <c r="G321" s="5" t="s">
        <v>43</v>
      </c>
      <c r="H321" s="7">
        <v>6035</v>
      </c>
      <c r="I321" s="6" t="s">
        <v>15</v>
      </c>
    </row>
    <row r="322" spans="1:9" x14ac:dyDescent="0.25">
      <c r="A322" s="2" t="s">
        <v>857</v>
      </c>
      <c r="B322" s="2" t="s">
        <v>844</v>
      </c>
      <c r="C322" s="2" t="s">
        <v>845</v>
      </c>
      <c r="D322" s="3" t="s">
        <v>846</v>
      </c>
      <c r="E322" s="3">
        <v>6</v>
      </c>
      <c r="F322" s="2" t="s">
        <v>858</v>
      </c>
      <c r="G322" s="2" t="s">
        <v>859</v>
      </c>
      <c r="H322" s="4">
        <v>7195</v>
      </c>
      <c r="I322" s="3" t="s">
        <v>15</v>
      </c>
    </row>
    <row r="323" spans="1:9" x14ac:dyDescent="0.25">
      <c r="A323" s="5" t="s">
        <v>860</v>
      </c>
      <c r="B323" s="5" t="s">
        <v>844</v>
      </c>
      <c r="C323" s="5" t="s">
        <v>845</v>
      </c>
      <c r="D323" s="6" t="s">
        <v>846</v>
      </c>
      <c r="E323" s="6">
        <v>7</v>
      </c>
      <c r="F323" s="5" t="s">
        <v>861</v>
      </c>
      <c r="G323" s="5" t="s">
        <v>129</v>
      </c>
      <c r="H323" s="7">
        <v>8967</v>
      </c>
      <c r="I323" s="6" t="s">
        <v>15</v>
      </c>
    </row>
    <row r="324" spans="1:9" x14ac:dyDescent="0.25">
      <c r="A324" s="2" t="s">
        <v>862</v>
      </c>
      <c r="B324" s="2" t="s">
        <v>844</v>
      </c>
      <c r="C324" s="2" t="s">
        <v>845</v>
      </c>
      <c r="D324" s="3" t="s">
        <v>846</v>
      </c>
      <c r="E324" s="3">
        <v>8</v>
      </c>
      <c r="F324" s="2" t="s">
        <v>863</v>
      </c>
      <c r="G324" s="2" t="s">
        <v>864</v>
      </c>
      <c r="H324" s="4">
        <v>18782</v>
      </c>
      <c r="I324" s="3" t="s">
        <v>15</v>
      </c>
    </row>
    <row r="325" spans="1:9" x14ac:dyDescent="0.25">
      <c r="A325" s="8" t="s">
        <v>865</v>
      </c>
      <c r="B325" s="8" t="s">
        <v>844</v>
      </c>
      <c r="C325" s="8" t="s">
        <v>845</v>
      </c>
      <c r="D325" s="9" t="s">
        <v>846</v>
      </c>
      <c r="E325" s="9">
        <v>9</v>
      </c>
      <c r="F325" s="8" t="s">
        <v>866</v>
      </c>
      <c r="G325" s="8" t="s">
        <v>74</v>
      </c>
      <c r="H325" s="10">
        <v>27338</v>
      </c>
      <c r="I325" s="9" t="s">
        <v>25</v>
      </c>
    </row>
    <row r="326" spans="1:9" x14ac:dyDescent="0.25">
      <c r="A326" s="2" t="s">
        <v>867</v>
      </c>
      <c r="B326" s="2" t="s">
        <v>868</v>
      </c>
      <c r="C326" s="2" t="s">
        <v>869</v>
      </c>
      <c r="D326" s="3" t="s">
        <v>870</v>
      </c>
      <c r="E326" s="3">
        <v>1</v>
      </c>
      <c r="F326" s="2" t="s">
        <v>871</v>
      </c>
      <c r="G326" s="2" t="s">
        <v>31</v>
      </c>
      <c r="H326" s="4">
        <v>10313</v>
      </c>
      <c r="I326" s="3" t="s">
        <v>15</v>
      </c>
    </row>
    <row r="327" spans="1:9" x14ac:dyDescent="0.25">
      <c r="A327" s="5" t="s">
        <v>872</v>
      </c>
      <c r="B327" s="5" t="s">
        <v>868</v>
      </c>
      <c r="C327" s="5" t="s">
        <v>869</v>
      </c>
      <c r="D327" s="6" t="s">
        <v>870</v>
      </c>
      <c r="E327" s="6">
        <v>2</v>
      </c>
      <c r="F327" s="5" t="s">
        <v>873</v>
      </c>
      <c r="G327" s="5" t="s">
        <v>43</v>
      </c>
      <c r="H327" s="7">
        <v>11003</v>
      </c>
      <c r="I327" s="6" t="s">
        <v>15</v>
      </c>
    </row>
    <row r="328" spans="1:9" x14ac:dyDescent="0.25">
      <c r="A328" s="2" t="s">
        <v>874</v>
      </c>
      <c r="B328" s="2" t="s">
        <v>868</v>
      </c>
      <c r="C328" s="2" t="s">
        <v>869</v>
      </c>
      <c r="D328" s="3" t="s">
        <v>870</v>
      </c>
      <c r="E328" s="3">
        <v>3</v>
      </c>
      <c r="F328" s="2" t="s">
        <v>875</v>
      </c>
      <c r="G328" s="2" t="s">
        <v>160</v>
      </c>
      <c r="H328" s="4">
        <v>14</v>
      </c>
      <c r="I328" s="3" t="s">
        <v>15</v>
      </c>
    </row>
    <row r="329" spans="1:9" x14ac:dyDescent="0.25">
      <c r="A329" s="5" t="s">
        <v>876</v>
      </c>
      <c r="B329" s="5" t="s">
        <v>868</v>
      </c>
      <c r="C329" s="5" t="s">
        <v>869</v>
      </c>
      <c r="D329" s="6" t="s">
        <v>870</v>
      </c>
      <c r="E329" s="6">
        <v>4</v>
      </c>
      <c r="F329" s="5" t="s">
        <v>877</v>
      </c>
      <c r="G329" s="5" t="s">
        <v>40</v>
      </c>
      <c r="H329" s="7">
        <v>171</v>
      </c>
      <c r="I329" s="6" t="s">
        <v>15</v>
      </c>
    </row>
    <row r="330" spans="1:9" x14ac:dyDescent="0.25">
      <c r="A330" s="2" t="s">
        <v>878</v>
      </c>
      <c r="B330" s="2" t="s">
        <v>868</v>
      </c>
      <c r="C330" s="2" t="s">
        <v>869</v>
      </c>
      <c r="D330" s="3" t="s">
        <v>870</v>
      </c>
      <c r="E330" s="3">
        <v>5</v>
      </c>
      <c r="F330" s="2" t="s">
        <v>879</v>
      </c>
      <c r="G330" s="2" t="s">
        <v>18</v>
      </c>
      <c r="H330" s="4">
        <v>25715</v>
      </c>
      <c r="I330" s="3" t="s">
        <v>15</v>
      </c>
    </row>
    <row r="331" spans="1:9" x14ac:dyDescent="0.25">
      <c r="A331" s="5" t="s">
        <v>880</v>
      </c>
      <c r="B331" s="5" t="s">
        <v>868</v>
      </c>
      <c r="C331" s="5" t="s">
        <v>869</v>
      </c>
      <c r="D331" s="6" t="s">
        <v>870</v>
      </c>
      <c r="E331" s="6">
        <v>6</v>
      </c>
      <c r="F331" s="5" t="s">
        <v>881</v>
      </c>
      <c r="G331" s="5" t="s">
        <v>52</v>
      </c>
      <c r="H331" s="7">
        <v>19339</v>
      </c>
      <c r="I331" s="6" t="s">
        <v>15</v>
      </c>
    </row>
    <row r="332" spans="1:9" x14ac:dyDescent="0.25">
      <c r="A332" s="8" t="s">
        <v>882</v>
      </c>
      <c r="B332" s="8" t="s">
        <v>868</v>
      </c>
      <c r="C332" s="8" t="s">
        <v>869</v>
      </c>
      <c r="D332" s="9" t="s">
        <v>870</v>
      </c>
      <c r="E332" s="9">
        <v>7</v>
      </c>
      <c r="F332" s="8" t="s">
        <v>883</v>
      </c>
      <c r="G332" s="8" t="s">
        <v>884</v>
      </c>
      <c r="H332" s="10">
        <v>71590</v>
      </c>
      <c r="I332" s="9" t="s">
        <v>25</v>
      </c>
    </row>
    <row r="333" spans="1:9" x14ac:dyDescent="0.25">
      <c r="A333" s="5" t="s">
        <v>885</v>
      </c>
      <c r="B333" s="5" t="s">
        <v>868</v>
      </c>
      <c r="C333" s="5" t="s">
        <v>869</v>
      </c>
      <c r="D333" s="6" t="s">
        <v>870</v>
      </c>
      <c r="E333" s="6">
        <v>8</v>
      </c>
      <c r="F333" s="5" t="s">
        <v>886</v>
      </c>
      <c r="G333" s="5" t="s">
        <v>887</v>
      </c>
      <c r="H333" s="7">
        <v>21413</v>
      </c>
      <c r="I333" s="6" t="s">
        <v>15</v>
      </c>
    </row>
    <row r="334" spans="1:9" x14ac:dyDescent="0.25">
      <c r="A334" s="2" t="s">
        <v>888</v>
      </c>
      <c r="B334" s="2" t="s">
        <v>868</v>
      </c>
      <c r="C334" s="2" t="s">
        <v>869</v>
      </c>
      <c r="D334" s="3" t="s">
        <v>870</v>
      </c>
      <c r="E334" s="3">
        <v>9</v>
      </c>
      <c r="F334" s="2" t="s">
        <v>889</v>
      </c>
      <c r="G334" s="2" t="s">
        <v>63</v>
      </c>
      <c r="H334" s="4">
        <v>2027</v>
      </c>
      <c r="I334" s="3" t="s">
        <v>15</v>
      </c>
    </row>
    <row r="335" spans="1:9" x14ac:dyDescent="0.25">
      <c r="A335" s="5" t="s">
        <v>890</v>
      </c>
      <c r="B335" s="5" t="s">
        <v>868</v>
      </c>
      <c r="C335" s="5" t="s">
        <v>869</v>
      </c>
      <c r="D335" s="6" t="s">
        <v>870</v>
      </c>
      <c r="E335" s="6">
        <v>10</v>
      </c>
      <c r="F335" s="5" t="s">
        <v>891</v>
      </c>
      <c r="G335" s="5" t="s">
        <v>892</v>
      </c>
      <c r="H335" s="7">
        <v>5799</v>
      </c>
      <c r="I335" s="6" t="s">
        <v>15</v>
      </c>
    </row>
    <row r="336" spans="1:9" x14ac:dyDescent="0.25">
      <c r="A336" s="2" t="s">
        <v>893</v>
      </c>
      <c r="B336" s="2" t="s">
        <v>894</v>
      </c>
      <c r="C336" s="2" t="s">
        <v>895</v>
      </c>
      <c r="D336" s="3" t="s">
        <v>896</v>
      </c>
      <c r="E336" s="3">
        <v>1</v>
      </c>
      <c r="F336" s="2" t="s">
        <v>897</v>
      </c>
      <c r="G336" s="2" t="s">
        <v>249</v>
      </c>
      <c r="H336" s="4">
        <v>6607</v>
      </c>
      <c r="I336" s="3" t="s">
        <v>15</v>
      </c>
    </row>
    <row r="337" spans="1:9" x14ac:dyDescent="0.25">
      <c r="A337" s="5" t="s">
        <v>898</v>
      </c>
      <c r="B337" s="5" t="s">
        <v>894</v>
      </c>
      <c r="C337" s="5" t="s">
        <v>895</v>
      </c>
      <c r="D337" s="6" t="s">
        <v>896</v>
      </c>
      <c r="E337" s="6">
        <v>2</v>
      </c>
      <c r="F337" s="5" t="s">
        <v>899</v>
      </c>
      <c r="G337" s="5" t="s">
        <v>74</v>
      </c>
      <c r="H337" s="7">
        <v>458</v>
      </c>
      <c r="I337" s="6" t="s">
        <v>15</v>
      </c>
    </row>
    <row r="338" spans="1:9" x14ac:dyDescent="0.25">
      <c r="A338" s="2" t="s">
        <v>900</v>
      </c>
      <c r="B338" s="2" t="s">
        <v>894</v>
      </c>
      <c r="C338" s="2" t="s">
        <v>895</v>
      </c>
      <c r="D338" s="3" t="s">
        <v>896</v>
      </c>
      <c r="E338" s="3">
        <v>3</v>
      </c>
      <c r="F338" s="2" t="s">
        <v>901</v>
      </c>
      <c r="G338" s="2" t="s">
        <v>902</v>
      </c>
      <c r="H338" s="4">
        <v>63046</v>
      </c>
      <c r="I338" s="3" t="s">
        <v>15</v>
      </c>
    </row>
    <row r="339" spans="1:9" x14ac:dyDescent="0.25">
      <c r="A339" s="5" t="s">
        <v>903</v>
      </c>
      <c r="B339" s="5" t="s">
        <v>894</v>
      </c>
      <c r="C339" s="5" t="s">
        <v>895</v>
      </c>
      <c r="D339" s="6" t="s">
        <v>896</v>
      </c>
      <c r="E339" s="6">
        <v>4</v>
      </c>
      <c r="F339" s="5" t="s">
        <v>904</v>
      </c>
      <c r="G339" s="5" t="s">
        <v>905</v>
      </c>
      <c r="H339" s="7">
        <v>4900</v>
      </c>
      <c r="I339" s="6" t="s">
        <v>15</v>
      </c>
    </row>
    <row r="340" spans="1:9" x14ac:dyDescent="0.25">
      <c r="A340" s="8" t="s">
        <v>906</v>
      </c>
      <c r="B340" s="8" t="s">
        <v>894</v>
      </c>
      <c r="C340" s="8" t="s">
        <v>895</v>
      </c>
      <c r="D340" s="9" t="s">
        <v>896</v>
      </c>
      <c r="E340" s="9">
        <v>5</v>
      </c>
      <c r="F340" s="8" t="s">
        <v>907</v>
      </c>
      <c r="G340" s="8" t="s">
        <v>908</v>
      </c>
      <c r="H340" s="10">
        <v>70987</v>
      </c>
      <c r="I340" s="9" t="s">
        <v>25</v>
      </c>
    </row>
    <row r="341" spans="1:9" x14ac:dyDescent="0.25">
      <c r="A341" s="5" t="s">
        <v>909</v>
      </c>
      <c r="B341" s="5" t="s">
        <v>894</v>
      </c>
      <c r="C341" s="5" t="s">
        <v>895</v>
      </c>
      <c r="D341" s="6" t="s">
        <v>896</v>
      </c>
      <c r="E341" s="6">
        <v>6</v>
      </c>
      <c r="F341" s="5" t="s">
        <v>910</v>
      </c>
      <c r="G341" s="5" t="s">
        <v>126</v>
      </c>
      <c r="H341" s="7">
        <v>342</v>
      </c>
      <c r="I341" s="6" t="s">
        <v>15</v>
      </c>
    </row>
    <row r="342" spans="1:9" x14ac:dyDescent="0.25">
      <c r="A342" s="2" t="s">
        <v>911</v>
      </c>
      <c r="B342" s="2" t="s">
        <v>894</v>
      </c>
      <c r="C342" s="2" t="s">
        <v>895</v>
      </c>
      <c r="D342" s="3" t="s">
        <v>896</v>
      </c>
      <c r="E342" s="3">
        <v>7</v>
      </c>
      <c r="F342" s="2" t="s">
        <v>912</v>
      </c>
      <c r="G342" s="2" t="s">
        <v>913</v>
      </c>
      <c r="H342" s="4">
        <v>943</v>
      </c>
      <c r="I342" s="3" t="s">
        <v>15</v>
      </c>
    </row>
    <row r="343" spans="1:9" x14ac:dyDescent="0.25">
      <c r="A343" s="5" t="s">
        <v>914</v>
      </c>
      <c r="B343" s="5" t="s">
        <v>894</v>
      </c>
      <c r="C343" s="5" t="s">
        <v>895</v>
      </c>
      <c r="D343" s="6" t="s">
        <v>896</v>
      </c>
      <c r="E343" s="6">
        <v>8</v>
      </c>
      <c r="F343" s="5" t="s">
        <v>915</v>
      </c>
      <c r="G343" s="5" t="s">
        <v>160</v>
      </c>
      <c r="H343" s="7">
        <v>15058</v>
      </c>
      <c r="I343" s="6" t="s">
        <v>15</v>
      </c>
    </row>
    <row r="344" spans="1:9" x14ac:dyDescent="0.25">
      <c r="A344" s="2" t="s">
        <v>916</v>
      </c>
      <c r="B344" s="2" t="s">
        <v>894</v>
      </c>
      <c r="C344" s="2" t="s">
        <v>895</v>
      </c>
      <c r="D344" s="3" t="s">
        <v>896</v>
      </c>
      <c r="E344" s="3">
        <v>9</v>
      </c>
      <c r="F344" s="2" t="s">
        <v>917</v>
      </c>
      <c r="G344" s="2" t="s">
        <v>31</v>
      </c>
      <c r="H344" s="4">
        <v>1281</v>
      </c>
      <c r="I344" s="3" t="s">
        <v>15</v>
      </c>
    </row>
    <row r="345" spans="1:9" x14ac:dyDescent="0.25">
      <c r="A345" s="5" t="s">
        <v>918</v>
      </c>
      <c r="B345" s="5" t="s">
        <v>894</v>
      </c>
      <c r="C345" s="5" t="s">
        <v>895</v>
      </c>
      <c r="D345" s="6" t="s">
        <v>896</v>
      </c>
      <c r="E345" s="6">
        <v>10</v>
      </c>
      <c r="F345" s="5" t="s">
        <v>919</v>
      </c>
      <c r="G345" s="5" t="s">
        <v>80</v>
      </c>
      <c r="H345" s="7">
        <v>230</v>
      </c>
      <c r="I345" s="6" t="s">
        <v>15</v>
      </c>
    </row>
    <row r="346" spans="1:9" x14ac:dyDescent="0.25">
      <c r="A346" s="2" t="s">
        <v>920</v>
      </c>
      <c r="B346" s="2" t="s">
        <v>894</v>
      </c>
      <c r="C346" s="2" t="s">
        <v>895</v>
      </c>
      <c r="D346" s="3" t="s">
        <v>896</v>
      </c>
      <c r="E346" s="3">
        <v>11</v>
      </c>
      <c r="F346" s="2" t="s">
        <v>921</v>
      </c>
      <c r="G346" s="2" t="s">
        <v>922</v>
      </c>
      <c r="H346" s="4">
        <v>802</v>
      </c>
      <c r="I346" s="3" t="s">
        <v>15</v>
      </c>
    </row>
    <row r="347" spans="1:9" x14ac:dyDescent="0.25">
      <c r="A347" s="5" t="s">
        <v>923</v>
      </c>
      <c r="B347" s="5" t="s">
        <v>894</v>
      </c>
      <c r="C347" s="5" t="s">
        <v>895</v>
      </c>
      <c r="D347" s="6" t="s">
        <v>896</v>
      </c>
      <c r="E347" s="6">
        <v>12</v>
      </c>
      <c r="F347" s="5" t="s">
        <v>924</v>
      </c>
      <c r="G347" s="5" t="s">
        <v>34</v>
      </c>
      <c r="H347" s="7">
        <v>549</v>
      </c>
      <c r="I347" s="6" t="s">
        <v>15</v>
      </c>
    </row>
    <row r="348" spans="1:9" x14ac:dyDescent="0.25">
      <c r="A348" s="2" t="s">
        <v>925</v>
      </c>
      <c r="B348" s="2" t="s">
        <v>894</v>
      </c>
      <c r="C348" s="2" t="s">
        <v>895</v>
      </c>
      <c r="D348" s="3" t="s">
        <v>896</v>
      </c>
      <c r="E348" s="3">
        <v>13</v>
      </c>
      <c r="F348" s="2" t="s">
        <v>926</v>
      </c>
      <c r="G348" s="2" t="s">
        <v>71</v>
      </c>
      <c r="H348" s="4">
        <v>5839</v>
      </c>
      <c r="I348" s="3" t="s">
        <v>15</v>
      </c>
    </row>
    <row r="349" spans="1:9" x14ac:dyDescent="0.25">
      <c r="A349" s="5" t="s">
        <v>927</v>
      </c>
      <c r="B349" s="5" t="s">
        <v>894</v>
      </c>
      <c r="C349" s="5" t="s">
        <v>895</v>
      </c>
      <c r="D349" s="6" t="s">
        <v>896</v>
      </c>
      <c r="E349" s="6">
        <v>14</v>
      </c>
      <c r="F349" s="5" t="s">
        <v>928</v>
      </c>
      <c r="G349" s="5" t="s">
        <v>28</v>
      </c>
      <c r="H349" s="7">
        <v>658</v>
      </c>
      <c r="I349" s="6" t="s">
        <v>15</v>
      </c>
    </row>
    <row r="350" spans="1:9" x14ac:dyDescent="0.25">
      <c r="A350" s="2" t="s">
        <v>929</v>
      </c>
      <c r="B350" s="2" t="s">
        <v>894</v>
      </c>
      <c r="C350" s="2" t="s">
        <v>895</v>
      </c>
      <c r="D350" s="3" t="s">
        <v>896</v>
      </c>
      <c r="E350" s="3">
        <v>15</v>
      </c>
      <c r="F350" s="2" t="s">
        <v>930</v>
      </c>
      <c r="G350" s="2" t="s">
        <v>63</v>
      </c>
      <c r="H350" s="4">
        <v>245</v>
      </c>
      <c r="I350" s="3" t="s">
        <v>15</v>
      </c>
    </row>
    <row r="351" spans="1:9" x14ac:dyDescent="0.25">
      <c r="A351" s="5" t="s">
        <v>931</v>
      </c>
      <c r="B351" s="5" t="s">
        <v>894</v>
      </c>
      <c r="C351" s="5" t="s">
        <v>895</v>
      </c>
      <c r="D351" s="6" t="s">
        <v>896</v>
      </c>
      <c r="E351" s="6">
        <v>16</v>
      </c>
      <c r="F351" s="5" t="s">
        <v>932</v>
      </c>
      <c r="G351" s="5" t="s">
        <v>933</v>
      </c>
      <c r="H351" s="7">
        <v>40604</v>
      </c>
      <c r="I351" s="6" t="s">
        <v>15</v>
      </c>
    </row>
  </sheetData>
  <autoFilter ref="A1:I351" xr:uid="{00000000-0009-0000-0000-000000000000}">
    <sortState xmlns:xlrd2="http://schemas.microsoft.com/office/spreadsheetml/2017/richdata2" ref="A2:I351">
      <sortCondition ref="B1:B35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0" zoomScaleNormal="80" workbookViewId="0">
      <pane ySplit="1" topLeftCell="A341" activePane="bottomLeft" state="frozen"/>
      <selection pane="bottomLeft" activeCell="H252" sqref="H252"/>
    </sheetView>
  </sheetViews>
  <sheetFormatPr baseColWidth="10" defaultColWidth="8.7109375" defaultRowHeight="14.45" customHeight="1" x14ac:dyDescent="0.25"/>
  <cols>
    <col min="1" max="2" width="16" customWidth="1"/>
    <col min="3" max="3" width="19.5703125" customWidth="1"/>
    <col min="4" max="4" width="37" customWidth="1"/>
    <col min="5" max="5" width="27" customWidth="1"/>
    <col min="6" max="7" width="9" customWidth="1"/>
    <col min="8" max="8" width="14.7109375" customWidth="1"/>
    <col min="9" max="9" width="16.28515625" customWidth="1"/>
    <col min="10" max="13" width="15.7109375" style="20" customWidth="1"/>
  </cols>
  <sheetData>
    <row r="1" spans="1:13" ht="14.45" customHeight="1" x14ac:dyDescent="0.25">
      <c r="A1" s="1" t="s">
        <v>0</v>
      </c>
      <c r="B1" s="1" t="s">
        <v>7</v>
      </c>
      <c r="C1" s="1" t="s">
        <v>1</v>
      </c>
      <c r="D1" s="1" t="s">
        <v>5</v>
      </c>
      <c r="E1" s="1" t="s">
        <v>6</v>
      </c>
      <c r="F1" s="1" t="s">
        <v>8</v>
      </c>
      <c r="G1" s="1" t="s">
        <v>1213</v>
      </c>
      <c r="H1" s="1" t="s">
        <v>1414</v>
      </c>
      <c r="I1" s="1" t="s">
        <v>1416</v>
      </c>
      <c r="J1" s="1" t="s">
        <v>934</v>
      </c>
      <c r="K1" s="1" t="s">
        <v>935</v>
      </c>
      <c r="L1" s="1" t="s">
        <v>936</v>
      </c>
      <c r="M1" s="1" t="s">
        <v>937</v>
      </c>
    </row>
    <row r="2" spans="1:13" ht="14.45" customHeight="1" x14ac:dyDescent="0.25">
      <c r="A2" s="8" t="s">
        <v>22</v>
      </c>
      <c r="B2" s="2">
        <f>VLOOKUP(A2,'Candidatos E-26 ALC'!A5:I354,8,FALSE)</f>
        <v>28317</v>
      </c>
      <c r="C2" s="8" t="s">
        <v>10</v>
      </c>
      <c r="D2" s="8" t="s">
        <v>23</v>
      </c>
      <c r="E2" s="8" t="s">
        <v>24</v>
      </c>
      <c r="F2" s="8" t="s">
        <v>25</v>
      </c>
      <c r="G2" s="8">
        <v>1</v>
      </c>
      <c r="H2" s="8"/>
      <c r="I2" s="8"/>
      <c r="J2" s="23" t="s">
        <v>1204</v>
      </c>
      <c r="K2" s="23" t="s">
        <v>1205</v>
      </c>
      <c r="L2" s="23" t="s">
        <v>1206</v>
      </c>
      <c r="M2" s="23" t="s">
        <v>1207</v>
      </c>
    </row>
    <row r="3" spans="1:13" ht="14.45" customHeight="1" x14ac:dyDescent="0.25">
      <c r="A3" s="2" t="s">
        <v>26</v>
      </c>
      <c r="B3" s="2">
        <f>VLOOKUP(A3,'Candidatos E-26 ALC'!A6:I355,8,FALSE)</f>
        <v>21889</v>
      </c>
      <c r="C3" s="2" t="s">
        <v>10</v>
      </c>
      <c r="D3" s="2" t="s">
        <v>27</v>
      </c>
      <c r="E3" s="2" t="s">
        <v>28</v>
      </c>
      <c r="F3" s="2" t="s">
        <v>15</v>
      </c>
      <c r="G3" s="2">
        <v>0</v>
      </c>
      <c r="H3" s="2"/>
      <c r="I3" s="2"/>
      <c r="J3" s="21" t="s">
        <v>1266</v>
      </c>
      <c r="K3" s="21" t="s">
        <v>1267</v>
      </c>
      <c r="L3" s="16"/>
      <c r="M3" s="21" t="s">
        <v>1268</v>
      </c>
    </row>
    <row r="4" spans="1:13" ht="14.45" customHeight="1" x14ac:dyDescent="0.25">
      <c r="A4" s="2" t="s">
        <v>9</v>
      </c>
      <c r="B4" s="2">
        <f>VLOOKUP(A4,'Candidatos E-26 ALC'!A2:I351,8,FALSE)</f>
        <v>1238</v>
      </c>
      <c r="C4" s="2" t="s">
        <v>10</v>
      </c>
      <c r="D4" s="2" t="s">
        <v>13</v>
      </c>
      <c r="E4" s="2" t="s">
        <v>14</v>
      </c>
      <c r="F4" s="2" t="s">
        <v>15</v>
      </c>
      <c r="G4" s="2">
        <v>0</v>
      </c>
      <c r="H4" s="2"/>
      <c r="I4" s="2"/>
      <c r="J4" s="21"/>
      <c r="K4" s="21"/>
      <c r="L4" s="21"/>
      <c r="M4" s="21"/>
    </row>
    <row r="5" spans="1:13" ht="14.45" customHeight="1" x14ac:dyDescent="0.25">
      <c r="A5" s="5" t="s">
        <v>29</v>
      </c>
      <c r="B5" s="2">
        <f>VLOOKUP(A5,'Candidatos E-26 ALC'!A7:I356,8,FALSE)</f>
        <v>774</v>
      </c>
      <c r="C5" s="5" t="s">
        <v>10</v>
      </c>
      <c r="D5" s="5" t="s">
        <v>30</v>
      </c>
      <c r="E5" s="5" t="s">
        <v>31</v>
      </c>
      <c r="F5" s="5" t="s">
        <v>15</v>
      </c>
      <c r="G5" s="5">
        <v>0</v>
      </c>
      <c r="H5" s="5"/>
      <c r="I5" s="5"/>
      <c r="J5" s="22"/>
      <c r="K5" s="17"/>
      <c r="L5" s="17"/>
      <c r="M5" s="22"/>
    </row>
    <row r="6" spans="1:13" ht="14.45" customHeight="1" x14ac:dyDescent="0.25">
      <c r="A6" s="5" t="s">
        <v>41</v>
      </c>
      <c r="B6" s="2">
        <f>VLOOKUP(A6,'Candidatos E-26 ALC'!A11:I360,8,FALSE)</f>
        <v>579</v>
      </c>
      <c r="C6" s="5" t="s">
        <v>10</v>
      </c>
      <c r="D6" s="5" t="s">
        <v>42</v>
      </c>
      <c r="E6" s="5" t="s">
        <v>43</v>
      </c>
      <c r="F6" s="5" t="s">
        <v>15</v>
      </c>
      <c r="G6" s="5">
        <v>0</v>
      </c>
      <c r="H6" s="5"/>
      <c r="I6" s="5"/>
      <c r="J6" s="17"/>
      <c r="K6" s="17"/>
      <c r="L6" s="17"/>
      <c r="M6" s="17"/>
    </row>
    <row r="7" spans="1:13" ht="14.45" customHeight="1" x14ac:dyDescent="0.25">
      <c r="A7" s="2" t="s">
        <v>19</v>
      </c>
      <c r="B7" s="2">
        <f>VLOOKUP(A7,'Candidatos E-26 ALC'!A4:I353,8,FALSE)</f>
        <v>541</v>
      </c>
      <c r="C7" s="2" t="s">
        <v>10</v>
      </c>
      <c r="D7" s="2" t="s">
        <v>20</v>
      </c>
      <c r="E7" s="2" t="s">
        <v>21</v>
      </c>
      <c r="F7" s="2" t="s">
        <v>15</v>
      </c>
      <c r="G7" s="2">
        <v>0</v>
      </c>
      <c r="H7" s="2"/>
      <c r="I7" s="2"/>
      <c r="J7" s="21"/>
      <c r="K7" s="16"/>
      <c r="L7" s="16"/>
      <c r="M7" s="21"/>
    </row>
    <row r="8" spans="1:13" ht="14.45" customHeight="1" x14ac:dyDescent="0.25">
      <c r="A8" s="2" t="s">
        <v>32</v>
      </c>
      <c r="B8" s="2">
        <f>VLOOKUP(A8,'Candidatos E-26 ALC'!A8:I357,8,FALSE)</f>
        <v>352</v>
      </c>
      <c r="C8" s="2" t="s">
        <v>10</v>
      </c>
      <c r="D8" s="2" t="s">
        <v>33</v>
      </c>
      <c r="E8" s="2" t="s">
        <v>34</v>
      </c>
      <c r="F8" s="2" t="s">
        <v>15</v>
      </c>
      <c r="G8" s="2">
        <v>0</v>
      </c>
      <c r="H8" s="2"/>
      <c r="I8" s="2"/>
      <c r="J8" s="16"/>
      <c r="K8" s="16"/>
      <c r="L8" s="16"/>
      <c r="M8" s="16"/>
    </row>
    <row r="9" spans="1:13" ht="14.45" customHeight="1" x14ac:dyDescent="0.25">
      <c r="A9" s="5" t="s">
        <v>16</v>
      </c>
      <c r="B9" s="2">
        <f>VLOOKUP(A9,'Candidatos E-26 ALC'!A3:I352,8,FALSE)</f>
        <v>146</v>
      </c>
      <c r="C9" s="5" t="s">
        <v>10</v>
      </c>
      <c r="D9" s="5" t="s">
        <v>17</v>
      </c>
      <c r="E9" s="5" t="s">
        <v>18</v>
      </c>
      <c r="F9" s="5" t="s">
        <v>15</v>
      </c>
      <c r="G9" s="5">
        <v>0</v>
      </c>
      <c r="H9" s="5"/>
      <c r="I9" s="5"/>
      <c r="J9" s="22"/>
      <c r="K9" s="17"/>
      <c r="L9" s="22"/>
      <c r="M9" s="22"/>
    </row>
    <row r="10" spans="1:13" ht="14.45" customHeight="1" x14ac:dyDescent="0.25">
      <c r="A10" s="5" t="s">
        <v>35</v>
      </c>
      <c r="B10" s="2">
        <f>VLOOKUP(A10,'Candidatos E-26 ALC'!A9:I358,8,FALSE)</f>
        <v>0</v>
      </c>
      <c r="C10" s="5" t="s">
        <v>10</v>
      </c>
      <c r="D10" s="5" t="s">
        <v>36</v>
      </c>
      <c r="E10" s="5" t="s">
        <v>37</v>
      </c>
      <c r="F10" s="5" t="s">
        <v>15</v>
      </c>
      <c r="G10" s="5">
        <v>0</v>
      </c>
      <c r="H10" s="5"/>
      <c r="I10" s="5"/>
      <c r="J10" s="17"/>
      <c r="K10" s="17"/>
      <c r="L10" s="17"/>
      <c r="M10" s="17"/>
    </row>
    <row r="11" spans="1:13" ht="14.45" customHeight="1" x14ac:dyDescent="0.25">
      <c r="A11" s="2" t="s">
        <v>38</v>
      </c>
      <c r="B11" s="2">
        <f>VLOOKUP(A11,'Candidatos E-26 ALC'!A10:I359,8,FALSE)</f>
        <v>0</v>
      </c>
      <c r="C11" s="2" t="s">
        <v>10</v>
      </c>
      <c r="D11" s="2" t="s">
        <v>39</v>
      </c>
      <c r="E11" s="2" t="s">
        <v>40</v>
      </c>
      <c r="F11" s="2" t="s">
        <v>15</v>
      </c>
      <c r="G11" s="2">
        <v>0</v>
      </c>
      <c r="H11" s="2"/>
      <c r="I11" s="2"/>
      <c r="J11" s="16"/>
      <c r="K11" s="16"/>
      <c r="L11" s="16"/>
      <c r="M11" s="16"/>
    </row>
    <row r="12" spans="1:13" ht="14.45" customHeight="1" x14ac:dyDescent="0.25">
      <c r="A12" s="2" t="s">
        <v>44</v>
      </c>
      <c r="B12" s="2">
        <f>VLOOKUP(A12,'Candidatos E-26 ALC'!A12:I361,8,FALSE)</f>
        <v>0</v>
      </c>
      <c r="C12" s="2" t="s">
        <v>10</v>
      </c>
      <c r="D12" s="2" t="s">
        <v>45</v>
      </c>
      <c r="E12" s="2" t="s">
        <v>46</v>
      </c>
      <c r="F12" s="2" t="s">
        <v>15</v>
      </c>
      <c r="G12" s="2">
        <v>0</v>
      </c>
      <c r="H12" s="2"/>
      <c r="I12" s="2"/>
      <c r="J12" s="16"/>
      <c r="K12" s="16"/>
      <c r="L12" s="16"/>
      <c r="M12" s="16"/>
    </row>
    <row r="13" spans="1:13" ht="14.45" customHeight="1" x14ac:dyDescent="0.25">
      <c r="A13" s="8" t="s">
        <v>83</v>
      </c>
      <c r="B13" s="2">
        <f>VLOOKUP(A13,'Candidatos E-26 ALC'!A25:I374,8,FALSE)</f>
        <v>35703</v>
      </c>
      <c r="C13" s="8" t="s">
        <v>48</v>
      </c>
      <c r="D13" s="8" t="s">
        <v>84</v>
      </c>
      <c r="E13" s="8" t="s">
        <v>85</v>
      </c>
      <c r="F13" s="8" t="s">
        <v>25</v>
      </c>
      <c r="G13" s="8">
        <v>1</v>
      </c>
      <c r="H13" s="8"/>
      <c r="I13" s="8"/>
      <c r="J13" s="23" t="s">
        <v>1161</v>
      </c>
      <c r="K13" s="23" t="s">
        <v>1163</v>
      </c>
      <c r="L13" s="23" t="s">
        <v>1164</v>
      </c>
      <c r="M13" s="23" t="s">
        <v>1162</v>
      </c>
    </row>
    <row r="14" spans="1:13" ht="14.45" customHeight="1" x14ac:dyDescent="0.25">
      <c r="A14" s="2" t="s">
        <v>86</v>
      </c>
      <c r="B14" s="2">
        <f>VLOOKUP(A14,'Candidatos E-26 ALC'!A26:I375,8,FALSE)</f>
        <v>26687</v>
      </c>
      <c r="C14" s="2" t="s">
        <v>48</v>
      </c>
      <c r="D14" s="2" t="s">
        <v>87</v>
      </c>
      <c r="E14" s="2" t="s">
        <v>88</v>
      </c>
      <c r="F14" s="2" t="s">
        <v>15</v>
      </c>
      <c r="G14" s="2">
        <v>0</v>
      </c>
      <c r="H14" s="2"/>
      <c r="I14" s="2"/>
      <c r="J14" s="21" t="s">
        <v>1227</v>
      </c>
      <c r="K14" s="19"/>
      <c r="L14" s="21" t="s">
        <v>1226</v>
      </c>
      <c r="M14" s="21" t="s">
        <v>1228</v>
      </c>
    </row>
    <row r="15" spans="1:13" ht="14.45" customHeight="1" x14ac:dyDescent="0.25">
      <c r="A15" s="5" t="s">
        <v>55</v>
      </c>
      <c r="B15" s="2">
        <f>VLOOKUP(A15,'Candidatos E-26 ALC'!A15:I364,8,FALSE)</f>
        <v>11674</v>
      </c>
      <c r="C15" s="5" t="s">
        <v>48</v>
      </c>
      <c r="D15" s="5" t="s">
        <v>56</v>
      </c>
      <c r="E15" s="5" t="s">
        <v>57</v>
      </c>
      <c r="F15" s="5" t="s">
        <v>15</v>
      </c>
      <c r="G15" s="5">
        <v>0</v>
      </c>
      <c r="H15" s="5"/>
      <c r="I15" s="5"/>
      <c r="J15" s="22" t="s">
        <v>1380</v>
      </c>
      <c r="K15" s="22" t="s">
        <v>1381</v>
      </c>
      <c r="L15" s="22" t="s">
        <v>1382</v>
      </c>
      <c r="M15" s="22" t="s">
        <v>1379</v>
      </c>
    </row>
    <row r="16" spans="1:13" ht="14.45" customHeight="1" x14ac:dyDescent="0.25">
      <c r="A16" s="2" t="s">
        <v>75</v>
      </c>
      <c r="B16" s="2">
        <f>VLOOKUP(A16,'Candidatos E-26 ALC'!A22:I371,8,FALSE)</f>
        <v>10996</v>
      </c>
      <c r="C16" s="2" t="s">
        <v>48</v>
      </c>
      <c r="D16" s="2" t="s">
        <v>76</v>
      </c>
      <c r="E16" s="2" t="s">
        <v>77</v>
      </c>
      <c r="F16" s="2" t="s">
        <v>15</v>
      </c>
      <c r="G16" s="2">
        <v>0</v>
      </c>
      <c r="H16" s="2"/>
      <c r="I16" s="2"/>
      <c r="J16" s="16"/>
      <c r="K16" s="16"/>
      <c r="L16" s="16"/>
      <c r="M16" s="16"/>
    </row>
    <row r="17" spans="1:13" ht="14.45" customHeight="1" x14ac:dyDescent="0.25">
      <c r="A17" s="2" t="s">
        <v>58</v>
      </c>
      <c r="B17" s="2">
        <f>VLOOKUP(A17,'Candidatos E-26 ALC'!A16:I365,8,FALSE)</f>
        <v>9436</v>
      </c>
      <c r="C17" s="2" t="s">
        <v>48</v>
      </c>
      <c r="D17" s="2" t="s">
        <v>59</v>
      </c>
      <c r="E17" s="2" t="s">
        <v>60</v>
      </c>
      <c r="F17" s="2" t="s">
        <v>15</v>
      </c>
      <c r="G17" s="2">
        <v>0</v>
      </c>
      <c r="H17" s="2"/>
      <c r="I17" s="2"/>
      <c r="J17" s="16"/>
      <c r="K17" s="16"/>
      <c r="L17" s="16"/>
      <c r="M17" s="16"/>
    </row>
    <row r="18" spans="1:13" ht="14.45" customHeight="1" x14ac:dyDescent="0.25">
      <c r="A18" s="5" t="s">
        <v>67</v>
      </c>
      <c r="B18" s="2">
        <f>VLOOKUP(A18,'Candidatos E-26 ALC'!A19:I368,8,FALSE)</f>
        <v>7569</v>
      </c>
      <c r="C18" s="5" t="s">
        <v>48</v>
      </c>
      <c r="D18" s="5" t="s">
        <v>68</v>
      </c>
      <c r="E18" s="5" t="s">
        <v>14</v>
      </c>
      <c r="F18" s="5" t="s">
        <v>15</v>
      </c>
      <c r="G18" s="5">
        <v>0</v>
      </c>
      <c r="H18" s="5"/>
      <c r="I18" s="5"/>
      <c r="J18" s="17"/>
      <c r="K18" s="17"/>
      <c r="L18" s="17"/>
      <c r="M18" s="17"/>
    </row>
    <row r="19" spans="1:13" ht="14.45" customHeight="1" x14ac:dyDescent="0.25">
      <c r="A19" s="2" t="s">
        <v>64</v>
      </c>
      <c r="B19" s="2">
        <f>VLOOKUP(A19,'Candidatos E-26 ALC'!A18:I367,8,FALSE)</f>
        <v>5135</v>
      </c>
      <c r="C19" s="2" t="s">
        <v>48</v>
      </c>
      <c r="D19" s="2" t="s">
        <v>65</v>
      </c>
      <c r="E19" s="2" t="s">
        <v>66</v>
      </c>
      <c r="F19" s="2" t="s">
        <v>15</v>
      </c>
      <c r="G19" s="2">
        <v>0</v>
      </c>
      <c r="H19" s="2"/>
      <c r="I19" s="2"/>
      <c r="J19" s="16"/>
      <c r="K19" s="16"/>
      <c r="L19" s="16"/>
      <c r="M19" s="16"/>
    </row>
    <row r="20" spans="1:13" ht="14.45" customHeight="1" x14ac:dyDescent="0.25">
      <c r="A20" s="5" t="s">
        <v>72</v>
      </c>
      <c r="B20" s="2">
        <f>VLOOKUP(A20,'Candidatos E-26 ALC'!A21:I370,8,FALSE)</f>
        <v>2516</v>
      </c>
      <c r="C20" s="5" t="s">
        <v>48</v>
      </c>
      <c r="D20" s="5" t="s">
        <v>73</v>
      </c>
      <c r="E20" s="5" t="s">
        <v>74</v>
      </c>
      <c r="F20" s="5" t="s">
        <v>15</v>
      </c>
      <c r="G20" s="5">
        <v>0</v>
      </c>
      <c r="H20" s="5"/>
      <c r="I20" s="5"/>
      <c r="J20" s="17"/>
      <c r="K20" s="17"/>
      <c r="L20" s="17"/>
      <c r="M20" s="17"/>
    </row>
    <row r="21" spans="1:13" ht="14.45" customHeight="1" x14ac:dyDescent="0.25">
      <c r="A21" s="5" t="s">
        <v>61</v>
      </c>
      <c r="B21" s="2">
        <f>VLOOKUP(A21,'Candidatos E-26 ALC'!A17:I366,8,FALSE)</f>
        <v>1928</v>
      </c>
      <c r="C21" s="5" t="s">
        <v>48</v>
      </c>
      <c r="D21" s="5" t="s">
        <v>62</v>
      </c>
      <c r="E21" s="5" t="s">
        <v>63</v>
      </c>
      <c r="F21" s="5" t="s">
        <v>15</v>
      </c>
      <c r="G21" s="5">
        <v>0</v>
      </c>
      <c r="H21" s="5"/>
      <c r="I21" s="5"/>
      <c r="J21" s="17"/>
      <c r="K21" s="17"/>
      <c r="L21" s="17"/>
      <c r="M21" s="17"/>
    </row>
    <row r="22" spans="1:13" ht="14.45" customHeight="1" x14ac:dyDescent="0.25">
      <c r="A22" s="5" t="s">
        <v>78</v>
      </c>
      <c r="B22" s="2">
        <f>VLOOKUP(A22,'Candidatos E-26 ALC'!A23:I372,8,FALSE)</f>
        <v>1914</v>
      </c>
      <c r="C22" s="5" t="s">
        <v>48</v>
      </c>
      <c r="D22" s="5" t="s">
        <v>79</v>
      </c>
      <c r="E22" s="5" t="s">
        <v>80</v>
      </c>
      <c r="F22" s="5" t="s">
        <v>15</v>
      </c>
      <c r="G22" s="5">
        <v>0</v>
      </c>
      <c r="H22" s="5"/>
      <c r="I22" s="5"/>
      <c r="J22" s="17"/>
      <c r="K22" s="17"/>
      <c r="L22" s="17"/>
      <c r="M22" s="17"/>
    </row>
    <row r="23" spans="1:13" ht="14.45" customHeight="1" x14ac:dyDescent="0.25">
      <c r="A23" s="2" t="s">
        <v>53</v>
      </c>
      <c r="B23" s="2">
        <f>VLOOKUP(A23,'Candidatos E-26 ALC'!A14:I363,8,FALSE)</f>
        <v>1503</v>
      </c>
      <c r="C23" s="2" t="s">
        <v>48</v>
      </c>
      <c r="D23" s="2" t="s">
        <v>54</v>
      </c>
      <c r="E23" s="2" t="s">
        <v>40</v>
      </c>
      <c r="F23" s="2" t="s">
        <v>15</v>
      </c>
      <c r="G23" s="2">
        <v>0</v>
      </c>
      <c r="H23" s="2"/>
      <c r="I23" s="2"/>
      <c r="J23" s="16"/>
      <c r="K23" s="16"/>
      <c r="L23" s="16"/>
      <c r="M23" s="16"/>
    </row>
    <row r="24" spans="1:13" ht="14.45" customHeight="1" x14ac:dyDescent="0.25">
      <c r="A24" s="2" t="s">
        <v>69</v>
      </c>
      <c r="B24" s="2">
        <f>VLOOKUP(A24,'Candidatos E-26 ALC'!A20:I369,8,FALSE)</f>
        <v>983</v>
      </c>
      <c r="C24" s="2" t="s">
        <v>48</v>
      </c>
      <c r="D24" s="2" t="s">
        <v>70</v>
      </c>
      <c r="E24" s="2" t="s">
        <v>71</v>
      </c>
      <c r="F24" s="2" t="s">
        <v>15</v>
      </c>
      <c r="G24" s="2">
        <v>0</v>
      </c>
      <c r="H24" s="2"/>
      <c r="I24" s="2"/>
      <c r="J24" s="16"/>
      <c r="K24" s="16"/>
      <c r="L24" s="16"/>
      <c r="M24" s="16"/>
    </row>
    <row r="25" spans="1:13" ht="14.45" customHeight="1" x14ac:dyDescent="0.25">
      <c r="A25" s="2" t="s">
        <v>81</v>
      </c>
      <c r="B25" s="2">
        <f>VLOOKUP(A25,'Candidatos E-26 ALC'!A24:I373,8,FALSE)</f>
        <v>698</v>
      </c>
      <c r="C25" s="2" t="s">
        <v>48</v>
      </c>
      <c r="D25" s="2" t="s">
        <v>82</v>
      </c>
      <c r="E25" s="2" t="s">
        <v>34</v>
      </c>
      <c r="F25" s="2" t="s">
        <v>15</v>
      </c>
      <c r="G25" s="2">
        <v>0</v>
      </c>
      <c r="H25" s="2"/>
      <c r="I25" s="2"/>
      <c r="J25" s="16"/>
      <c r="K25" s="16"/>
      <c r="L25" s="16"/>
      <c r="M25" s="16"/>
    </row>
    <row r="26" spans="1:13" ht="14.45" customHeight="1" x14ac:dyDescent="0.25">
      <c r="A26" s="5" t="s">
        <v>47</v>
      </c>
      <c r="B26" s="2">
        <f>VLOOKUP(A26,'Candidatos E-26 ALC'!A13:I362,8,FALSE)</f>
        <v>388</v>
      </c>
      <c r="C26" s="5" t="s">
        <v>48</v>
      </c>
      <c r="D26" s="5" t="s">
        <v>51</v>
      </c>
      <c r="E26" s="5" t="s">
        <v>52</v>
      </c>
      <c r="F26" s="5" t="s">
        <v>15</v>
      </c>
      <c r="G26" s="5">
        <v>0</v>
      </c>
      <c r="H26" s="5"/>
      <c r="I26" s="5"/>
      <c r="J26" s="17"/>
      <c r="K26" s="17"/>
      <c r="L26" s="17"/>
      <c r="M26" s="17"/>
    </row>
    <row r="27" spans="1:13" ht="14.45" customHeight="1" x14ac:dyDescent="0.25">
      <c r="A27" s="8" t="s">
        <v>102</v>
      </c>
      <c r="B27" s="2">
        <f>VLOOKUP(A27,'Candidatos E-26 ALC'!A31:I380,8,FALSE)</f>
        <v>72593</v>
      </c>
      <c r="C27" s="8" t="s">
        <v>90</v>
      </c>
      <c r="D27" s="8" t="s">
        <v>103</v>
      </c>
      <c r="E27" s="8" t="s">
        <v>104</v>
      </c>
      <c r="F27" s="8" t="s">
        <v>25</v>
      </c>
      <c r="G27" s="8">
        <v>1</v>
      </c>
      <c r="H27" s="8"/>
      <c r="I27" s="8"/>
      <c r="J27" s="23" t="s">
        <v>1043</v>
      </c>
      <c r="K27" s="23" t="s">
        <v>1042</v>
      </c>
      <c r="L27" s="23" t="s">
        <v>1041</v>
      </c>
      <c r="M27" s="23" t="s">
        <v>1044</v>
      </c>
    </row>
    <row r="28" spans="1:13" ht="14.45" customHeight="1" x14ac:dyDescent="0.25">
      <c r="A28" s="2" t="s">
        <v>105</v>
      </c>
      <c r="B28" s="2">
        <f>VLOOKUP(A28,'Candidatos E-26 ALC'!A32:I381,8,FALSE)</f>
        <v>28025</v>
      </c>
      <c r="C28" s="2" t="s">
        <v>90</v>
      </c>
      <c r="D28" s="2" t="s">
        <v>106</v>
      </c>
      <c r="E28" s="2" t="s">
        <v>107</v>
      </c>
      <c r="F28" s="2" t="s">
        <v>15</v>
      </c>
      <c r="G28" s="2">
        <v>0</v>
      </c>
      <c r="H28" s="2"/>
      <c r="I28" s="2"/>
      <c r="J28" s="21" t="s">
        <v>1210</v>
      </c>
      <c r="K28" s="21" t="s">
        <v>1211</v>
      </c>
      <c r="L28" s="21" t="s">
        <v>1212</v>
      </c>
      <c r="M28" s="21" t="s">
        <v>1208</v>
      </c>
    </row>
    <row r="29" spans="1:13" ht="14.45" customHeight="1" x14ac:dyDescent="0.25">
      <c r="A29" s="5" t="s">
        <v>97</v>
      </c>
      <c r="B29" s="2">
        <f>VLOOKUP(A29,'Candidatos E-26 ALC'!A29:I378,8,FALSE)</f>
        <v>15779</v>
      </c>
      <c r="C29" s="5" t="s">
        <v>90</v>
      </c>
      <c r="D29" s="5" t="s">
        <v>98</v>
      </c>
      <c r="E29" s="5" t="s">
        <v>99</v>
      </c>
      <c r="F29" s="5" t="s">
        <v>15</v>
      </c>
      <c r="G29" s="5">
        <v>0</v>
      </c>
      <c r="H29" s="5"/>
      <c r="I29" s="5"/>
      <c r="J29" s="22" t="s">
        <v>1315</v>
      </c>
      <c r="K29" s="22" t="s">
        <v>1316</v>
      </c>
      <c r="L29" s="22" t="s">
        <v>1317</v>
      </c>
      <c r="M29" s="22" t="s">
        <v>1318</v>
      </c>
    </row>
    <row r="30" spans="1:13" ht="14.45" customHeight="1" x14ac:dyDescent="0.25">
      <c r="A30" s="2" t="s">
        <v>115</v>
      </c>
      <c r="B30" s="2">
        <f>VLOOKUP(A30,'Candidatos E-26 ALC'!A36:I385,8,FALSE)</f>
        <v>2740</v>
      </c>
      <c r="C30" s="2" t="s">
        <v>90</v>
      </c>
      <c r="D30" s="2" t="s">
        <v>116</v>
      </c>
      <c r="E30" s="2" t="s">
        <v>14</v>
      </c>
      <c r="F30" s="2" t="s">
        <v>15</v>
      </c>
      <c r="G30" s="2">
        <v>0</v>
      </c>
      <c r="H30" s="2"/>
      <c r="I30" s="2"/>
      <c r="J30" s="16"/>
      <c r="K30" s="16"/>
      <c r="L30" s="16"/>
      <c r="M30" s="16"/>
    </row>
    <row r="31" spans="1:13" ht="14.45" customHeight="1" x14ac:dyDescent="0.25">
      <c r="A31" s="2" t="s">
        <v>100</v>
      </c>
      <c r="B31" s="2">
        <f>VLOOKUP(A31,'Candidatos E-26 ALC'!A30:I379,8,FALSE)</f>
        <v>1020</v>
      </c>
      <c r="C31" s="2" t="s">
        <v>90</v>
      </c>
      <c r="D31" s="2" t="s">
        <v>101</v>
      </c>
      <c r="E31" s="2" t="s">
        <v>37</v>
      </c>
      <c r="F31" s="2" t="s">
        <v>15</v>
      </c>
      <c r="G31" s="2">
        <v>0</v>
      </c>
      <c r="H31" s="2"/>
      <c r="I31" s="2"/>
      <c r="J31" s="16"/>
      <c r="K31" s="16"/>
      <c r="L31" s="16"/>
      <c r="M31" s="16"/>
    </row>
    <row r="32" spans="1:13" ht="14.45" customHeight="1" x14ac:dyDescent="0.25">
      <c r="A32" s="2" t="s">
        <v>94</v>
      </c>
      <c r="B32" s="2">
        <f>VLOOKUP(A32,'Candidatos E-26 ALC'!A28:I377,8,FALSE)</f>
        <v>1000</v>
      </c>
      <c r="C32" s="2" t="s">
        <v>90</v>
      </c>
      <c r="D32" s="2" t="s">
        <v>95</v>
      </c>
      <c r="E32" s="2" t="s">
        <v>96</v>
      </c>
      <c r="F32" s="2" t="s">
        <v>15</v>
      </c>
      <c r="G32" s="2">
        <v>0</v>
      </c>
      <c r="H32" s="2"/>
      <c r="I32" s="2"/>
      <c r="J32" s="16"/>
      <c r="K32" s="16"/>
      <c r="L32" s="16"/>
      <c r="M32" s="16"/>
    </row>
    <row r="33" spans="1:13" ht="14.45" customHeight="1" x14ac:dyDescent="0.25">
      <c r="A33" s="5" t="s">
        <v>108</v>
      </c>
      <c r="B33" s="2">
        <f>VLOOKUP(A33,'Candidatos E-26 ALC'!A33:I382,8,FALSE)</f>
        <v>639</v>
      </c>
      <c r="C33" s="5" t="s">
        <v>90</v>
      </c>
      <c r="D33" s="5" t="s">
        <v>109</v>
      </c>
      <c r="E33" s="5" t="s">
        <v>63</v>
      </c>
      <c r="F33" s="5" t="s">
        <v>15</v>
      </c>
      <c r="G33" s="5">
        <v>0</v>
      </c>
      <c r="H33" s="5"/>
      <c r="I33" s="5"/>
      <c r="J33" s="17"/>
      <c r="K33" s="17"/>
      <c r="L33" s="17"/>
      <c r="M33" s="17"/>
    </row>
    <row r="34" spans="1:13" ht="14.45" customHeight="1" x14ac:dyDescent="0.25">
      <c r="A34" s="5" t="s">
        <v>113</v>
      </c>
      <c r="B34" s="2">
        <f>VLOOKUP(A34,'Candidatos E-26 ALC'!A35:I384,8,FALSE)</f>
        <v>614</v>
      </c>
      <c r="C34" s="5" t="s">
        <v>90</v>
      </c>
      <c r="D34" s="5" t="s">
        <v>114</v>
      </c>
      <c r="E34" s="5" t="s">
        <v>71</v>
      </c>
      <c r="F34" s="5" t="s">
        <v>15</v>
      </c>
      <c r="G34" s="5">
        <v>0</v>
      </c>
      <c r="H34" s="5"/>
      <c r="I34" s="5"/>
      <c r="J34" s="17"/>
      <c r="K34" s="17"/>
      <c r="L34" s="17"/>
      <c r="M34" s="17"/>
    </row>
    <row r="35" spans="1:13" ht="14.45" customHeight="1" x14ac:dyDescent="0.25">
      <c r="A35" s="5" t="s">
        <v>89</v>
      </c>
      <c r="B35" s="2">
        <f>VLOOKUP(A35,'Candidatos E-26 ALC'!A27:I376,8,FALSE)</f>
        <v>411</v>
      </c>
      <c r="C35" s="5" t="s">
        <v>90</v>
      </c>
      <c r="D35" s="5" t="s">
        <v>93</v>
      </c>
      <c r="E35" s="5" t="s">
        <v>80</v>
      </c>
      <c r="F35" s="5" t="s">
        <v>15</v>
      </c>
      <c r="G35" s="5">
        <v>0</v>
      </c>
      <c r="H35" s="5"/>
      <c r="I35" s="5"/>
      <c r="J35" s="17"/>
      <c r="K35" s="17"/>
      <c r="L35" s="17"/>
      <c r="M35" s="17"/>
    </row>
    <row r="36" spans="1:13" ht="14.45" customHeight="1" x14ac:dyDescent="0.25">
      <c r="A36" s="2" t="s">
        <v>110</v>
      </c>
      <c r="B36" s="2">
        <f>VLOOKUP(A36,'Candidatos E-26 ALC'!A34:I383,8,FALSE)</f>
        <v>361</v>
      </c>
      <c r="C36" s="2" t="s">
        <v>90</v>
      </c>
      <c r="D36" s="2" t="s">
        <v>111</v>
      </c>
      <c r="E36" s="2" t="s">
        <v>112</v>
      </c>
      <c r="F36" s="2" t="s">
        <v>15</v>
      </c>
      <c r="G36" s="2">
        <v>0</v>
      </c>
      <c r="H36" s="2"/>
      <c r="I36" s="2"/>
      <c r="J36" s="16"/>
      <c r="K36" s="16"/>
      <c r="L36" s="16"/>
      <c r="M36" s="16"/>
    </row>
    <row r="37" spans="1:13" ht="14.45" customHeight="1" x14ac:dyDescent="0.25">
      <c r="A37" s="2" t="s">
        <v>119</v>
      </c>
      <c r="B37" s="2">
        <f>VLOOKUP(A37,'Candidatos E-26 ALC'!A38:I387,8,FALSE)</f>
        <v>133</v>
      </c>
      <c r="C37" s="2" t="s">
        <v>90</v>
      </c>
      <c r="D37" s="2" t="s">
        <v>120</v>
      </c>
      <c r="E37" s="2" t="s">
        <v>31</v>
      </c>
      <c r="F37" s="2" t="s">
        <v>15</v>
      </c>
      <c r="G37" s="2">
        <v>0</v>
      </c>
      <c r="H37" s="2"/>
      <c r="I37" s="2"/>
      <c r="J37" s="16"/>
      <c r="K37" s="16"/>
      <c r="L37" s="16"/>
      <c r="M37" s="16"/>
    </row>
    <row r="38" spans="1:13" ht="14.45" customHeight="1" x14ac:dyDescent="0.25">
      <c r="A38" s="5" t="s">
        <v>117</v>
      </c>
      <c r="B38" s="2">
        <f>VLOOKUP(A38,'Candidatos E-26 ALC'!A37:I386,8,FALSE)</f>
        <v>68</v>
      </c>
      <c r="C38" s="5" t="s">
        <v>90</v>
      </c>
      <c r="D38" s="5" t="s">
        <v>118</v>
      </c>
      <c r="E38" s="5" t="s">
        <v>40</v>
      </c>
      <c r="F38" s="5" t="s">
        <v>15</v>
      </c>
      <c r="G38" s="5">
        <v>0</v>
      </c>
      <c r="H38" s="5"/>
      <c r="I38" s="5"/>
      <c r="J38" s="17"/>
      <c r="K38" s="17"/>
      <c r="L38" s="17"/>
      <c r="M38" s="17"/>
    </row>
    <row r="39" spans="1:13" ht="14.45" customHeight="1" x14ac:dyDescent="0.25">
      <c r="A39" s="8" t="s">
        <v>127</v>
      </c>
      <c r="B39" s="2">
        <f>VLOOKUP(A39,'Candidatos E-26 ALC'!A40:I389,8,FALSE)</f>
        <v>417644</v>
      </c>
      <c r="C39" s="8" t="s">
        <v>122</v>
      </c>
      <c r="D39" s="8" t="s">
        <v>128</v>
      </c>
      <c r="E39" s="8" t="s">
        <v>129</v>
      </c>
      <c r="F39" s="8" t="s">
        <v>25</v>
      </c>
      <c r="G39" s="8">
        <v>1</v>
      </c>
      <c r="H39" s="8"/>
      <c r="I39" s="8"/>
      <c r="J39" s="23" t="s">
        <v>938</v>
      </c>
      <c r="K39" s="23" t="s">
        <v>939</v>
      </c>
      <c r="L39" s="23" t="s">
        <v>940</v>
      </c>
      <c r="M39" s="23" t="s">
        <v>941</v>
      </c>
    </row>
    <row r="40" spans="1:13" ht="14.45" customHeight="1" x14ac:dyDescent="0.25">
      <c r="A40" s="5" t="s">
        <v>135</v>
      </c>
      <c r="B40" s="2">
        <f>VLOOKUP(A40,'Candidatos E-26 ALC'!A43:I392,8,FALSE)</f>
        <v>53144</v>
      </c>
      <c r="C40" s="5" t="s">
        <v>122</v>
      </c>
      <c r="D40" s="5" t="s">
        <v>136</v>
      </c>
      <c r="E40" s="5" t="s">
        <v>137</v>
      </c>
      <c r="F40" s="5" t="s">
        <v>15</v>
      </c>
      <c r="G40" s="5">
        <v>0</v>
      </c>
      <c r="H40" s="5"/>
      <c r="I40" s="5"/>
      <c r="J40" s="22" t="s">
        <v>1108</v>
      </c>
      <c r="K40" s="22" t="s">
        <v>1109</v>
      </c>
      <c r="L40" s="22" t="s">
        <v>1110</v>
      </c>
      <c r="M40" s="22" t="s">
        <v>1111</v>
      </c>
    </row>
    <row r="41" spans="1:13" ht="14.45" customHeight="1" x14ac:dyDescent="0.25">
      <c r="A41" s="2" t="s">
        <v>138</v>
      </c>
      <c r="B41" s="2">
        <f>VLOOKUP(A41,'Candidatos E-26 ALC'!A44:I393,8,FALSE)</f>
        <v>19052</v>
      </c>
      <c r="C41" s="2" t="s">
        <v>122</v>
      </c>
      <c r="D41" s="2" t="s">
        <v>139</v>
      </c>
      <c r="E41" s="2" t="s">
        <v>63</v>
      </c>
      <c r="F41" s="2" t="s">
        <v>15</v>
      </c>
      <c r="G41" s="2">
        <v>0</v>
      </c>
      <c r="H41" s="2"/>
      <c r="I41" s="2"/>
      <c r="J41" s="21" t="s">
        <v>1297</v>
      </c>
      <c r="K41" s="16"/>
      <c r="L41" s="16"/>
      <c r="M41" s="21" t="s">
        <v>1425</v>
      </c>
    </row>
    <row r="42" spans="1:13" ht="14.45" customHeight="1" x14ac:dyDescent="0.25">
      <c r="A42" s="5" t="s">
        <v>121</v>
      </c>
      <c r="B42" s="2">
        <f>VLOOKUP(A42,'Candidatos E-26 ALC'!A39:I388,8,FALSE)</f>
        <v>7790</v>
      </c>
      <c r="C42" s="5" t="s">
        <v>122</v>
      </c>
      <c r="D42" s="5" t="s">
        <v>125</v>
      </c>
      <c r="E42" s="5" t="s">
        <v>126</v>
      </c>
      <c r="F42" s="5" t="s">
        <v>15</v>
      </c>
      <c r="G42" s="5">
        <v>0</v>
      </c>
      <c r="H42" s="5"/>
      <c r="I42" s="5"/>
      <c r="J42" s="17"/>
      <c r="K42" s="17"/>
      <c r="L42" s="17"/>
      <c r="M42" s="17"/>
    </row>
    <row r="43" spans="1:13" ht="14.45" customHeight="1" x14ac:dyDescent="0.25">
      <c r="A43" s="5" t="s">
        <v>130</v>
      </c>
      <c r="B43" s="2">
        <f>VLOOKUP(A43,'Candidatos E-26 ALC'!A41:I390,8,FALSE)</f>
        <v>7659</v>
      </c>
      <c r="C43" s="5" t="s">
        <v>122</v>
      </c>
      <c r="D43" s="5" t="s">
        <v>131</v>
      </c>
      <c r="E43" s="5" t="s">
        <v>132</v>
      </c>
      <c r="F43" s="5" t="s">
        <v>15</v>
      </c>
      <c r="G43" s="5">
        <v>0</v>
      </c>
      <c r="H43" s="5"/>
      <c r="I43" s="5"/>
      <c r="J43" s="17"/>
      <c r="K43" s="17"/>
      <c r="L43" s="17"/>
      <c r="M43" s="17"/>
    </row>
    <row r="44" spans="1:13" ht="14.45" customHeight="1" x14ac:dyDescent="0.25">
      <c r="A44" s="2" t="s">
        <v>133</v>
      </c>
      <c r="B44" s="2">
        <f>VLOOKUP(A44,'Candidatos E-26 ALC'!A42:I391,8,FALSE)</f>
        <v>4874</v>
      </c>
      <c r="C44" s="2" t="s">
        <v>122</v>
      </c>
      <c r="D44" s="2" t="s">
        <v>134</v>
      </c>
      <c r="E44" s="2" t="s">
        <v>52</v>
      </c>
      <c r="F44" s="2" t="s">
        <v>15</v>
      </c>
      <c r="G44" s="2">
        <v>0</v>
      </c>
      <c r="H44" s="2"/>
      <c r="I44" s="2"/>
      <c r="J44" s="16"/>
      <c r="K44" s="16"/>
      <c r="L44" s="16"/>
      <c r="M44" s="16"/>
    </row>
    <row r="45" spans="1:13" ht="14.45" customHeight="1" x14ac:dyDescent="0.25">
      <c r="A45" s="8" t="s">
        <v>147</v>
      </c>
      <c r="B45" s="2">
        <f>VLOOKUP(A45,'Candidatos E-26 ALC'!A47:I396,8,FALSE)</f>
        <v>64022</v>
      </c>
      <c r="C45" s="8" t="s">
        <v>141</v>
      </c>
      <c r="D45" s="8" t="s">
        <v>148</v>
      </c>
      <c r="E45" s="8" t="s">
        <v>149</v>
      </c>
      <c r="F45" s="8" t="s">
        <v>25</v>
      </c>
      <c r="G45" s="8">
        <v>1</v>
      </c>
      <c r="H45" s="8"/>
      <c r="I45" s="8"/>
      <c r="J45" s="23" t="s">
        <v>1065</v>
      </c>
      <c r="K45" s="23" t="s">
        <v>1063</v>
      </c>
      <c r="L45" s="23" t="s">
        <v>1064</v>
      </c>
      <c r="M45" s="23" t="s">
        <v>1062</v>
      </c>
    </row>
    <row r="46" spans="1:13" ht="14.45" customHeight="1" x14ac:dyDescent="0.25">
      <c r="A46" s="2" t="s">
        <v>161</v>
      </c>
      <c r="B46" s="2">
        <f>VLOOKUP(A46,'Candidatos E-26 ALC'!A52:I401,8,FALSE)</f>
        <v>56635</v>
      </c>
      <c r="C46" s="2" t="s">
        <v>141</v>
      </c>
      <c r="D46" s="2" t="s">
        <v>162</v>
      </c>
      <c r="E46" s="2" t="s">
        <v>163</v>
      </c>
      <c r="F46" s="2" t="s">
        <v>15</v>
      </c>
      <c r="G46" s="2">
        <v>0</v>
      </c>
      <c r="H46" s="2"/>
      <c r="I46" s="2"/>
      <c r="J46" s="21" t="s">
        <v>1090</v>
      </c>
      <c r="K46" s="21" t="s">
        <v>1091</v>
      </c>
      <c r="L46" s="21" t="s">
        <v>1092</v>
      </c>
      <c r="M46" s="21" t="s">
        <v>1093</v>
      </c>
    </row>
    <row r="47" spans="1:13" ht="14.45" customHeight="1" x14ac:dyDescent="0.25">
      <c r="A47" s="5" t="s">
        <v>140</v>
      </c>
      <c r="B47" s="2">
        <f>VLOOKUP(A47,'Candidatos E-26 ALC'!A45:I394,8,FALSE)</f>
        <v>11226</v>
      </c>
      <c r="C47" s="5" t="s">
        <v>141</v>
      </c>
      <c r="D47" s="5" t="s">
        <v>143</v>
      </c>
      <c r="E47" s="5" t="s">
        <v>144</v>
      </c>
      <c r="F47" s="5" t="s">
        <v>15</v>
      </c>
      <c r="G47" s="5">
        <v>0</v>
      </c>
      <c r="H47" s="5"/>
      <c r="I47" s="5"/>
      <c r="J47" s="17"/>
      <c r="K47" s="17"/>
      <c r="L47" s="17"/>
      <c r="M47" s="22" t="s">
        <v>1387</v>
      </c>
    </row>
    <row r="48" spans="1:13" ht="14.45" customHeight="1" x14ac:dyDescent="0.25">
      <c r="A48" s="5" t="s">
        <v>152</v>
      </c>
      <c r="B48" s="2">
        <f>VLOOKUP(A48,'Candidatos E-26 ALC'!A49:I398,8,FALSE)</f>
        <v>7457</v>
      </c>
      <c r="C48" s="5" t="s">
        <v>141</v>
      </c>
      <c r="D48" s="5" t="s">
        <v>153</v>
      </c>
      <c r="E48" s="5" t="s">
        <v>154</v>
      </c>
      <c r="F48" s="5" t="s">
        <v>15</v>
      </c>
      <c r="G48" s="5">
        <v>0</v>
      </c>
      <c r="H48" s="5"/>
      <c r="I48" s="5"/>
      <c r="J48" s="17"/>
      <c r="K48" s="17"/>
      <c r="L48" s="17"/>
      <c r="M48" s="17"/>
    </row>
    <row r="49" spans="1:13" ht="14.45" customHeight="1" x14ac:dyDescent="0.25">
      <c r="A49" s="2" t="s">
        <v>145</v>
      </c>
      <c r="B49" s="2">
        <f>VLOOKUP(A49,'Candidatos E-26 ALC'!A46:I395,8,FALSE)</f>
        <v>4439</v>
      </c>
      <c r="C49" s="2" t="s">
        <v>141</v>
      </c>
      <c r="D49" s="2" t="s">
        <v>146</v>
      </c>
      <c r="E49" s="2" t="s">
        <v>18</v>
      </c>
      <c r="F49" s="2" t="s">
        <v>15</v>
      </c>
      <c r="G49" s="2">
        <v>0</v>
      </c>
      <c r="H49" s="2"/>
      <c r="I49" s="2"/>
      <c r="J49" s="16"/>
      <c r="K49" s="16"/>
      <c r="L49" s="16"/>
      <c r="M49" s="16"/>
    </row>
    <row r="50" spans="1:13" ht="14.45" customHeight="1" x14ac:dyDescent="0.25">
      <c r="A50" s="5" t="s">
        <v>158</v>
      </c>
      <c r="B50" s="2">
        <f>VLOOKUP(A50,'Candidatos E-26 ALC'!A51:I400,8,FALSE)</f>
        <v>2035</v>
      </c>
      <c r="C50" s="5" t="s">
        <v>141</v>
      </c>
      <c r="D50" s="5" t="s">
        <v>159</v>
      </c>
      <c r="E50" s="5" t="s">
        <v>160</v>
      </c>
      <c r="F50" s="5" t="s">
        <v>15</v>
      </c>
      <c r="G50" s="5">
        <v>0</v>
      </c>
      <c r="H50" s="5"/>
      <c r="I50" s="5"/>
      <c r="J50" s="17"/>
      <c r="K50" s="17"/>
      <c r="L50" s="17"/>
      <c r="M50" s="17"/>
    </row>
    <row r="51" spans="1:13" ht="14.45" customHeight="1" x14ac:dyDescent="0.25">
      <c r="A51" s="2" t="s">
        <v>150</v>
      </c>
      <c r="B51" s="2">
        <f>VLOOKUP(A51,'Candidatos E-26 ALC'!A48:I397,8,FALSE)</f>
        <v>1562</v>
      </c>
      <c r="C51" s="2" t="s">
        <v>141</v>
      </c>
      <c r="D51" s="2" t="s">
        <v>151</v>
      </c>
      <c r="E51" s="2" t="s">
        <v>63</v>
      </c>
      <c r="F51" s="2" t="s">
        <v>15</v>
      </c>
      <c r="G51" s="2">
        <v>0</v>
      </c>
      <c r="H51" s="2"/>
      <c r="I51" s="2"/>
      <c r="J51" s="16"/>
      <c r="K51" s="16"/>
      <c r="L51" s="16"/>
      <c r="M51" s="16"/>
    </row>
    <row r="52" spans="1:13" ht="14.45" customHeight="1" x14ac:dyDescent="0.25">
      <c r="A52" s="2" t="s">
        <v>155</v>
      </c>
      <c r="B52" s="2">
        <f>VLOOKUP(A52,'Candidatos E-26 ALC'!A50:I399,8,FALSE)</f>
        <v>684</v>
      </c>
      <c r="C52" s="2" t="s">
        <v>141</v>
      </c>
      <c r="D52" s="2" t="s">
        <v>156</v>
      </c>
      <c r="E52" s="2" t="s">
        <v>157</v>
      </c>
      <c r="F52" s="2" t="s">
        <v>15</v>
      </c>
      <c r="G52" s="2">
        <v>0</v>
      </c>
      <c r="H52" s="2"/>
      <c r="I52" s="2"/>
      <c r="J52" s="16"/>
      <c r="K52" s="16"/>
      <c r="L52" s="16"/>
      <c r="M52" s="16"/>
    </row>
    <row r="53" spans="1:13" ht="14.45" customHeight="1" x14ac:dyDescent="0.25">
      <c r="A53" s="5" t="s">
        <v>164</v>
      </c>
      <c r="B53" s="2">
        <f>VLOOKUP(A53,'Candidatos E-26 ALC'!A53:I402,8,FALSE)</f>
        <v>348</v>
      </c>
      <c r="C53" s="5" t="s">
        <v>141</v>
      </c>
      <c r="D53" s="5" t="s">
        <v>165</v>
      </c>
      <c r="E53" s="5" t="s">
        <v>166</v>
      </c>
      <c r="F53" s="5" t="s">
        <v>15</v>
      </c>
      <c r="G53" s="5">
        <v>0</v>
      </c>
      <c r="H53" s="5"/>
      <c r="I53" s="5"/>
      <c r="J53" s="17"/>
      <c r="K53" s="17"/>
      <c r="L53" s="17"/>
      <c r="M53" s="17"/>
    </row>
    <row r="54" spans="1:13" ht="14.45" customHeight="1" x14ac:dyDescent="0.25">
      <c r="A54" s="8" t="s">
        <v>180</v>
      </c>
      <c r="B54" s="2">
        <f>VLOOKUP(A54,'Candidatos E-26 ALC'!A58:I407,8,FALSE)</f>
        <v>1499734</v>
      </c>
      <c r="C54" s="8" t="s">
        <v>168</v>
      </c>
      <c r="D54" s="8" t="s">
        <v>181</v>
      </c>
      <c r="E54" s="8" t="s">
        <v>182</v>
      </c>
      <c r="F54" s="8" t="s">
        <v>25</v>
      </c>
      <c r="G54" s="8">
        <v>1</v>
      </c>
      <c r="H54" s="8"/>
      <c r="I54" s="8"/>
      <c r="J54" s="23" t="s">
        <v>942</v>
      </c>
      <c r="K54" s="23" t="s">
        <v>943</v>
      </c>
      <c r="L54" s="23" t="s">
        <v>944</v>
      </c>
      <c r="M54" s="23" t="s">
        <v>945</v>
      </c>
    </row>
    <row r="55" spans="1:13" ht="14.45" customHeight="1" x14ac:dyDescent="0.25">
      <c r="A55" s="5" t="s">
        <v>188</v>
      </c>
      <c r="B55" s="2">
        <f>VLOOKUP(A55,'Candidatos E-26 ALC'!A61:I410,8,FALSE)</f>
        <v>616902</v>
      </c>
      <c r="C55" s="5" t="s">
        <v>168</v>
      </c>
      <c r="D55" s="5" t="s">
        <v>189</v>
      </c>
      <c r="E55" s="5" t="s">
        <v>190</v>
      </c>
      <c r="F55" s="5" t="s">
        <v>15</v>
      </c>
      <c r="G55" s="5">
        <v>0</v>
      </c>
      <c r="H55" s="5"/>
      <c r="I55" s="5"/>
      <c r="J55" s="23" t="s">
        <v>972</v>
      </c>
      <c r="K55" s="23" t="s">
        <v>973</v>
      </c>
      <c r="L55" s="23" t="s">
        <v>974</v>
      </c>
      <c r="M55" s="23" t="s">
        <v>975</v>
      </c>
    </row>
    <row r="56" spans="1:13" ht="14.45" customHeight="1" x14ac:dyDescent="0.25">
      <c r="A56" s="5" t="s">
        <v>183</v>
      </c>
      <c r="B56" s="2">
        <f>VLOOKUP(A56,'Candidatos E-26 ALC'!A59:I408,8,FALSE)</f>
        <v>571948</v>
      </c>
      <c r="C56" s="5" t="s">
        <v>168</v>
      </c>
      <c r="D56" s="5" t="s">
        <v>184</v>
      </c>
      <c r="E56" s="5" t="s">
        <v>185</v>
      </c>
      <c r="F56" s="5" t="s">
        <v>15</v>
      </c>
      <c r="G56" s="5">
        <v>0</v>
      </c>
      <c r="H56" s="5"/>
      <c r="I56" s="5"/>
      <c r="J56" s="23" t="s">
        <v>976</v>
      </c>
      <c r="K56" s="23" t="s">
        <v>946</v>
      </c>
      <c r="L56" s="23" t="s">
        <v>977</v>
      </c>
      <c r="M56" s="23" t="s">
        <v>978</v>
      </c>
    </row>
    <row r="57" spans="1:13" ht="14.45" customHeight="1" x14ac:dyDescent="0.25">
      <c r="A57" s="2" t="s">
        <v>174</v>
      </c>
      <c r="B57" s="2">
        <f>VLOOKUP(A57,'Candidatos E-26 ALC'!A56:I405,8,FALSE)</f>
        <v>69639</v>
      </c>
      <c r="C57" s="2" t="s">
        <v>168</v>
      </c>
      <c r="D57" s="2" t="s">
        <v>175</v>
      </c>
      <c r="E57" s="2" t="s">
        <v>176</v>
      </c>
      <c r="F57" s="2" t="s">
        <v>15</v>
      </c>
      <c r="G57" s="2">
        <v>0</v>
      </c>
      <c r="H57" s="2"/>
      <c r="I57" s="2"/>
      <c r="J57" s="23" t="s">
        <v>1054</v>
      </c>
      <c r="K57" s="23" t="s">
        <v>1056</v>
      </c>
      <c r="L57" s="23" t="s">
        <v>1057</v>
      </c>
      <c r="M57" s="23" t="s">
        <v>1055</v>
      </c>
    </row>
    <row r="58" spans="1:13" ht="14.45" customHeight="1" x14ac:dyDescent="0.25">
      <c r="A58" s="5" t="s">
        <v>171</v>
      </c>
      <c r="B58" s="2">
        <f>VLOOKUP(A58,'Candidatos E-26 ALC'!A55:I404,8,FALSE)</f>
        <v>65681</v>
      </c>
      <c r="C58" s="5" t="s">
        <v>168</v>
      </c>
      <c r="D58" s="5" t="s">
        <v>172</v>
      </c>
      <c r="E58" s="5" t="s">
        <v>173</v>
      </c>
      <c r="F58" s="5" t="s">
        <v>15</v>
      </c>
      <c r="G58" s="5">
        <v>0</v>
      </c>
      <c r="H58" s="5"/>
      <c r="I58" s="5"/>
      <c r="J58" s="23" t="s">
        <v>1058</v>
      </c>
      <c r="K58" s="23" t="s">
        <v>1060</v>
      </c>
      <c r="L58" s="23" t="s">
        <v>1061</v>
      </c>
      <c r="M58" s="23" t="s">
        <v>1059</v>
      </c>
    </row>
    <row r="59" spans="1:13" ht="14.45" customHeight="1" x14ac:dyDescent="0.25">
      <c r="A59" s="2" t="s">
        <v>191</v>
      </c>
      <c r="B59" s="2">
        <f>VLOOKUP(A59,'Candidatos E-26 ALC'!A62:I411,8,FALSE)</f>
        <v>34099</v>
      </c>
      <c r="C59" s="2" t="s">
        <v>168</v>
      </c>
      <c r="D59" s="2" t="s">
        <v>192</v>
      </c>
      <c r="E59" s="2" t="s">
        <v>31</v>
      </c>
      <c r="F59" s="2" t="s">
        <v>15</v>
      </c>
      <c r="G59" s="2">
        <v>0</v>
      </c>
      <c r="H59" s="2"/>
      <c r="I59" s="2"/>
      <c r="J59" s="21" t="s">
        <v>1169</v>
      </c>
      <c r="K59" s="21" t="s">
        <v>1170</v>
      </c>
      <c r="L59" s="21" t="s">
        <v>1171</v>
      </c>
      <c r="M59" s="21" t="s">
        <v>1172</v>
      </c>
    </row>
    <row r="60" spans="1:13" ht="14.45" customHeight="1" x14ac:dyDescent="0.25">
      <c r="A60" s="2" t="s">
        <v>167</v>
      </c>
      <c r="B60" s="2">
        <f>VLOOKUP(A60,'Candidatos E-26 ALC'!A54:I403,8,FALSE)</f>
        <v>31153</v>
      </c>
      <c r="C60" s="2" t="s">
        <v>168</v>
      </c>
      <c r="D60" s="2" t="s">
        <v>170</v>
      </c>
      <c r="E60" s="2" t="s">
        <v>129</v>
      </c>
      <c r="F60" s="2" t="s">
        <v>15</v>
      </c>
      <c r="G60" s="2">
        <v>0</v>
      </c>
      <c r="H60" s="2"/>
      <c r="I60" s="2"/>
      <c r="J60" s="21" t="s">
        <v>1193</v>
      </c>
      <c r="K60" s="21" t="s">
        <v>1195</v>
      </c>
      <c r="L60" s="21" t="s">
        <v>1194</v>
      </c>
      <c r="M60" s="21" t="s">
        <v>1196</v>
      </c>
    </row>
    <row r="61" spans="1:13" ht="14.45" customHeight="1" x14ac:dyDescent="0.25">
      <c r="A61" s="5" t="s">
        <v>177</v>
      </c>
      <c r="B61" s="2">
        <f>VLOOKUP(A61,'Candidatos E-26 ALC'!A57:I406,8,FALSE)</f>
        <v>14855</v>
      </c>
      <c r="C61" s="5" t="s">
        <v>168</v>
      </c>
      <c r="D61" s="5" t="s">
        <v>178</v>
      </c>
      <c r="E61" s="5" t="s">
        <v>179</v>
      </c>
      <c r="F61" s="5" t="s">
        <v>15</v>
      </c>
      <c r="G61" s="5">
        <v>0</v>
      </c>
      <c r="H61" s="5"/>
      <c r="I61" s="5"/>
      <c r="J61" s="22" t="s">
        <v>1340</v>
      </c>
      <c r="K61" s="22" t="s">
        <v>1339</v>
      </c>
      <c r="L61" s="22" t="s">
        <v>1341</v>
      </c>
      <c r="M61" s="17"/>
    </row>
    <row r="62" spans="1:13" ht="14.45" customHeight="1" x14ac:dyDescent="0.25">
      <c r="A62" s="2" t="s">
        <v>186</v>
      </c>
      <c r="B62" s="2">
        <f>VLOOKUP(A62,'Candidatos E-26 ALC'!A60:I409,8,FALSE)</f>
        <v>2730</v>
      </c>
      <c r="C62" s="2" t="s">
        <v>168</v>
      </c>
      <c r="D62" s="2" t="s">
        <v>187</v>
      </c>
      <c r="E62" s="2" t="s">
        <v>52</v>
      </c>
      <c r="F62" s="2" t="s">
        <v>15</v>
      </c>
      <c r="G62" s="2">
        <v>0</v>
      </c>
      <c r="H62" s="2"/>
      <c r="I62" s="2"/>
      <c r="J62" s="21" t="s">
        <v>1418</v>
      </c>
      <c r="K62" s="21" t="s">
        <v>1420</v>
      </c>
      <c r="L62" s="21" t="s">
        <v>1421</v>
      </c>
      <c r="M62" s="21" t="s">
        <v>1419</v>
      </c>
    </row>
    <row r="63" spans="1:13" ht="14.45" customHeight="1" x14ac:dyDescent="0.25">
      <c r="A63" s="8" t="s">
        <v>193</v>
      </c>
      <c r="B63" s="2">
        <f>VLOOKUP(A63,'Candidatos E-26 ALC'!A63:I412,8,FALSE)</f>
        <v>91418</v>
      </c>
      <c r="C63" s="8" t="s">
        <v>194</v>
      </c>
      <c r="D63" s="8" t="s">
        <v>196</v>
      </c>
      <c r="E63" s="8" t="s">
        <v>197</v>
      </c>
      <c r="F63" s="8" t="s">
        <v>25</v>
      </c>
      <c r="G63" s="8">
        <v>1</v>
      </c>
      <c r="H63" s="8"/>
      <c r="I63" s="8"/>
      <c r="J63" s="23" t="s">
        <v>996</v>
      </c>
      <c r="K63" s="23" t="s">
        <v>947</v>
      </c>
      <c r="L63" s="23" t="s">
        <v>948</v>
      </c>
      <c r="M63" s="23" t="s">
        <v>949</v>
      </c>
    </row>
    <row r="64" spans="1:13" ht="14.45" customHeight="1" x14ac:dyDescent="0.25">
      <c r="A64" s="2" t="s">
        <v>212</v>
      </c>
      <c r="B64" s="2">
        <f>VLOOKUP(A64,'Candidatos E-26 ALC'!A70:I419,8,FALSE)</f>
        <v>39004</v>
      </c>
      <c r="C64" s="2" t="s">
        <v>194</v>
      </c>
      <c r="D64" s="2" t="s">
        <v>213</v>
      </c>
      <c r="E64" s="2" t="s">
        <v>214</v>
      </c>
      <c r="F64" s="2" t="s">
        <v>15</v>
      </c>
      <c r="G64" s="2">
        <v>0</v>
      </c>
      <c r="H64" s="2"/>
      <c r="I64" s="2"/>
      <c r="J64" s="21" t="s">
        <v>1138</v>
      </c>
      <c r="K64" s="21" t="s">
        <v>1137</v>
      </c>
      <c r="L64" s="21" t="s">
        <v>1139</v>
      </c>
      <c r="M64" s="21" t="s">
        <v>1140</v>
      </c>
    </row>
    <row r="65" spans="1:13" ht="14.45" customHeight="1" x14ac:dyDescent="0.25">
      <c r="A65" s="2" t="s">
        <v>198</v>
      </c>
      <c r="B65" s="2">
        <f>VLOOKUP(A65,'Candidatos E-26 ALC'!A64:I413,8,FALSE)</f>
        <v>33995</v>
      </c>
      <c r="C65" s="2" t="s">
        <v>194</v>
      </c>
      <c r="D65" s="2" t="s">
        <v>199</v>
      </c>
      <c r="E65" s="2" t="s">
        <v>200</v>
      </c>
      <c r="F65" s="2" t="s">
        <v>15</v>
      </c>
      <c r="G65" s="2">
        <v>0</v>
      </c>
      <c r="H65" s="2"/>
      <c r="I65" s="2"/>
      <c r="J65" s="21" t="s">
        <v>1173</v>
      </c>
      <c r="K65" s="21" t="s">
        <v>1174</v>
      </c>
      <c r="L65" s="21" t="s">
        <v>1176</v>
      </c>
      <c r="M65" s="21" t="s">
        <v>1175</v>
      </c>
    </row>
    <row r="66" spans="1:13" ht="14.45" customHeight="1" x14ac:dyDescent="0.25">
      <c r="A66" s="5" t="s">
        <v>231</v>
      </c>
      <c r="B66" s="2">
        <f>VLOOKUP(A66,'Candidatos E-26 ALC'!A77:I426,8,FALSE)</f>
        <v>23551</v>
      </c>
      <c r="C66" s="5" t="s">
        <v>194</v>
      </c>
      <c r="D66" s="5" t="s">
        <v>232</v>
      </c>
      <c r="E66" s="5" t="s">
        <v>233</v>
      </c>
      <c r="F66" s="5" t="s">
        <v>15</v>
      </c>
      <c r="G66" s="5">
        <v>0</v>
      </c>
      <c r="H66" s="5"/>
      <c r="I66" s="5"/>
      <c r="J66" s="22" t="s">
        <v>1249</v>
      </c>
      <c r="K66" s="22" t="s">
        <v>1251</v>
      </c>
      <c r="L66" s="22" t="s">
        <v>1250</v>
      </c>
      <c r="M66" s="22" t="s">
        <v>1252</v>
      </c>
    </row>
    <row r="67" spans="1:13" ht="14.45" customHeight="1" x14ac:dyDescent="0.25">
      <c r="A67" s="5" t="s">
        <v>201</v>
      </c>
      <c r="B67" s="2">
        <f>VLOOKUP(A67,'Candidatos E-26 ALC'!A65:I414,8,FALSE)</f>
        <v>22726</v>
      </c>
      <c r="C67" s="5" t="s">
        <v>194</v>
      </c>
      <c r="D67" s="5" t="s">
        <v>202</v>
      </c>
      <c r="E67" s="5" t="s">
        <v>203</v>
      </c>
      <c r="F67" s="5" t="s">
        <v>15</v>
      </c>
      <c r="G67" s="5">
        <v>0</v>
      </c>
      <c r="H67" s="5"/>
      <c r="I67" s="5"/>
      <c r="J67" s="22" t="s">
        <v>1258</v>
      </c>
      <c r="K67" s="22" t="s">
        <v>1260</v>
      </c>
      <c r="L67" s="22" t="s">
        <v>1259</v>
      </c>
      <c r="M67" s="22" t="s">
        <v>1261</v>
      </c>
    </row>
    <row r="68" spans="1:13" ht="14.45" customHeight="1" x14ac:dyDescent="0.25">
      <c r="A68" s="5" t="s">
        <v>225</v>
      </c>
      <c r="B68" s="2">
        <f>VLOOKUP(A68,'Candidatos E-26 ALC'!A75:I424,8,FALSE)</f>
        <v>10693</v>
      </c>
      <c r="C68" s="5" t="s">
        <v>194</v>
      </c>
      <c r="D68" s="5" t="s">
        <v>226</v>
      </c>
      <c r="E68" s="5" t="s">
        <v>227</v>
      </c>
      <c r="F68" s="5" t="s">
        <v>15</v>
      </c>
      <c r="G68" s="5">
        <v>0</v>
      </c>
      <c r="H68" s="5"/>
      <c r="I68" s="5"/>
      <c r="J68" s="22" t="s">
        <v>1408</v>
      </c>
      <c r="K68" s="22" t="s">
        <v>1410</v>
      </c>
      <c r="L68" s="22" t="s">
        <v>1411</v>
      </c>
      <c r="M68" s="22" t="s">
        <v>1409</v>
      </c>
    </row>
    <row r="69" spans="1:13" ht="14.45" customHeight="1" x14ac:dyDescent="0.25">
      <c r="A69" s="2" t="s">
        <v>222</v>
      </c>
      <c r="B69" s="2">
        <f>VLOOKUP(A69,'Candidatos E-26 ALC'!A74:I423,8,FALSE)</f>
        <v>10326</v>
      </c>
      <c r="C69" s="2" t="s">
        <v>194</v>
      </c>
      <c r="D69" s="2" t="s">
        <v>223</v>
      </c>
      <c r="E69" s="2" t="s">
        <v>224</v>
      </c>
      <c r="F69" s="2" t="s">
        <v>15</v>
      </c>
      <c r="G69" s="2">
        <v>0</v>
      </c>
      <c r="H69" s="2"/>
      <c r="I69" s="2"/>
      <c r="J69" s="21" t="s">
        <v>1412</v>
      </c>
      <c r="K69" s="16"/>
      <c r="L69" s="16"/>
      <c r="M69" s="21" t="s">
        <v>1413</v>
      </c>
    </row>
    <row r="70" spans="1:13" ht="14.45" customHeight="1" x14ac:dyDescent="0.25">
      <c r="A70" s="5" t="s">
        <v>219</v>
      </c>
      <c r="B70" s="2">
        <f>VLOOKUP(A70,'Candidatos E-26 ALC'!A73:I422,8,FALSE)</f>
        <v>8212</v>
      </c>
      <c r="C70" s="5" t="s">
        <v>194</v>
      </c>
      <c r="D70" s="5" t="s">
        <v>220</v>
      </c>
      <c r="E70" s="5" t="s">
        <v>221</v>
      </c>
      <c r="F70" s="5" t="s">
        <v>15</v>
      </c>
      <c r="G70" s="5">
        <v>0</v>
      </c>
      <c r="H70" s="5"/>
      <c r="I70" s="5"/>
      <c r="J70" s="17"/>
      <c r="K70" s="17"/>
      <c r="L70" s="17"/>
      <c r="M70" s="17"/>
    </row>
    <row r="71" spans="1:13" ht="14.45" customHeight="1" x14ac:dyDescent="0.25">
      <c r="A71" s="5" t="s">
        <v>215</v>
      </c>
      <c r="B71" s="2">
        <f>VLOOKUP(A71,'Candidatos E-26 ALC'!A71:I420,8,FALSE)</f>
        <v>2544</v>
      </c>
      <c r="C71" s="5" t="s">
        <v>194</v>
      </c>
      <c r="D71" s="5" t="s">
        <v>216</v>
      </c>
      <c r="E71" s="5" t="s">
        <v>80</v>
      </c>
      <c r="F71" s="5" t="s">
        <v>15</v>
      </c>
      <c r="G71" s="5">
        <v>0</v>
      </c>
      <c r="H71" s="5"/>
      <c r="I71" s="5"/>
      <c r="J71" s="17"/>
      <c r="K71" s="17"/>
      <c r="L71" s="17"/>
      <c r="M71" s="17"/>
    </row>
    <row r="72" spans="1:13" ht="14.45" customHeight="1" x14ac:dyDescent="0.25">
      <c r="A72" s="2" t="s">
        <v>228</v>
      </c>
      <c r="B72" s="2">
        <f>VLOOKUP(A72,'Candidatos E-26 ALC'!A76:I425,8,FALSE)</f>
        <v>1779</v>
      </c>
      <c r="C72" s="2" t="s">
        <v>194</v>
      </c>
      <c r="D72" s="2" t="s">
        <v>229</v>
      </c>
      <c r="E72" s="2" t="s">
        <v>230</v>
      </c>
      <c r="F72" s="2" t="s">
        <v>15</v>
      </c>
      <c r="G72" s="2">
        <v>0</v>
      </c>
      <c r="H72" s="2"/>
      <c r="I72" s="2"/>
      <c r="J72" s="16"/>
      <c r="K72" s="16"/>
      <c r="L72" s="16"/>
      <c r="M72" s="16"/>
    </row>
    <row r="73" spans="1:13" ht="14.45" customHeight="1" x14ac:dyDescent="0.25">
      <c r="A73" s="2" t="s">
        <v>204</v>
      </c>
      <c r="B73" s="2">
        <f>VLOOKUP(A73,'Candidatos E-26 ALC'!A66:I415,8,FALSE)</f>
        <v>1050</v>
      </c>
      <c r="C73" s="2" t="s">
        <v>194</v>
      </c>
      <c r="D73" s="2" t="s">
        <v>205</v>
      </c>
      <c r="E73" s="2" t="s">
        <v>71</v>
      </c>
      <c r="F73" s="2" t="s">
        <v>15</v>
      </c>
      <c r="G73" s="2">
        <v>0</v>
      </c>
      <c r="H73" s="2"/>
      <c r="I73" s="2"/>
      <c r="J73" s="16"/>
      <c r="K73" s="16"/>
      <c r="L73" s="16"/>
      <c r="M73" s="16"/>
    </row>
    <row r="74" spans="1:13" ht="14.45" customHeight="1" x14ac:dyDescent="0.25">
      <c r="A74" s="2" t="s">
        <v>208</v>
      </c>
      <c r="B74" s="2">
        <f>VLOOKUP(A74,'Candidatos E-26 ALC'!A68:I417,8,FALSE)</f>
        <v>1001</v>
      </c>
      <c r="C74" s="2" t="s">
        <v>194</v>
      </c>
      <c r="D74" s="2" t="s">
        <v>209</v>
      </c>
      <c r="E74" s="2" t="s">
        <v>160</v>
      </c>
      <c r="F74" s="2" t="s">
        <v>15</v>
      </c>
      <c r="G74" s="2">
        <v>0</v>
      </c>
      <c r="H74" s="2"/>
      <c r="I74" s="2"/>
      <c r="J74" s="16"/>
      <c r="K74" s="16"/>
      <c r="L74" s="16"/>
      <c r="M74" s="16"/>
    </row>
    <row r="75" spans="1:13" ht="14.45" customHeight="1" x14ac:dyDescent="0.25">
      <c r="A75" s="5" t="s">
        <v>206</v>
      </c>
      <c r="B75" s="2">
        <f>VLOOKUP(A75,'Candidatos E-26 ALC'!A67:I416,8,FALSE)</f>
        <v>642</v>
      </c>
      <c r="C75" s="5" t="s">
        <v>194</v>
      </c>
      <c r="D75" s="5" t="s">
        <v>207</v>
      </c>
      <c r="E75" s="5" t="s">
        <v>40</v>
      </c>
      <c r="F75" s="5" t="s">
        <v>15</v>
      </c>
      <c r="G75" s="5">
        <v>0</v>
      </c>
      <c r="H75" s="5"/>
      <c r="I75" s="5"/>
      <c r="J75" s="17"/>
      <c r="K75" s="17"/>
      <c r="L75" s="17"/>
      <c r="M75" s="17"/>
    </row>
    <row r="76" spans="1:13" ht="14.45" customHeight="1" x14ac:dyDescent="0.25">
      <c r="A76" s="5" t="s">
        <v>210</v>
      </c>
      <c r="B76" s="2">
        <f>VLOOKUP(A76,'Candidatos E-26 ALC'!A69:I418,8,FALSE)</f>
        <v>361</v>
      </c>
      <c r="C76" s="5" t="s">
        <v>194</v>
      </c>
      <c r="D76" s="5" t="s">
        <v>211</v>
      </c>
      <c r="E76" s="5" t="s">
        <v>34</v>
      </c>
      <c r="F76" s="5" t="s">
        <v>15</v>
      </c>
      <c r="G76" s="5">
        <v>0</v>
      </c>
      <c r="H76" s="5"/>
      <c r="I76" s="5"/>
      <c r="J76" s="17"/>
      <c r="K76" s="17"/>
      <c r="L76" s="17"/>
      <c r="M76" s="17"/>
    </row>
    <row r="77" spans="1:13" ht="14.45" customHeight="1" x14ac:dyDescent="0.25">
      <c r="A77" s="2" t="s">
        <v>217</v>
      </c>
      <c r="B77" s="2">
        <f>VLOOKUP(A77,'Candidatos E-26 ALC'!A72:I421,8,FALSE)</f>
        <v>328</v>
      </c>
      <c r="C77" s="2" t="s">
        <v>194</v>
      </c>
      <c r="D77" s="2" t="s">
        <v>218</v>
      </c>
      <c r="E77" s="2" t="s">
        <v>112</v>
      </c>
      <c r="F77" s="2" t="s">
        <v>15</v>
      </c>
      <c r="G77" s="2">
        <v>0</v>
      </c>
      <c r="H77" s="2"/>
      <c r="I77" s="2"/>
      <c r="J77" s="16"/>
      <c r="K77" s="16"/>
      <c r="L77" s="16"/>
      <c r="M77" s="16"/>
    </row>
    <row r="78" spans="1:13" ht="14.45" customHeight="1" x14ac:dyDescent="0.25">
      <c r="A78" s="8" t="s">
        <v>270</v>
      </c>
      <c r="B78" s="2">
        <f>VLOOKUP(A78,'Candidatos E-26 ALC'!A92:I441,8,FALSE)</f>
        <v>42201</v>
      </c>
      <c r="C78" s="8" t="s">
        <v>235</v>
      </c>
      <c r="D78" s="8" t="s">
        <v>271</v>
      </c>
      <c r="E78" s="8" t="s">
        <v>272</v>
      </c>
      <c r="F78" s="8" t="s">
        <v>25</v>
      </c>
      <c r="G78" s="8">
        <v>1</v>
      </c>
      <c r="H78" s="8"/>
      <c r="I78" s="8"/>
      <c r="J78" s="23" t="s">
        <v>1128</v>
      </c>
      <c r="K78" s="23" t="s">
        <v>1131</v>
      </c>
      <c r="L78" s="23" t="s">
        <v>1132</v>
      </c>
      <c r="M78" s="23" t="s">
        <v>1130</v>
      </c>
    </row>
    <row r="79" spans="1:13" ht="14.45" customHeight="1" x14ac:dyDescent="0.25">
      <c r="A79" s="5" t="s">
        <v>259</v>
      </c>
      <c r="B79" s="2">
        <f>VLOOKUP(A79,'Candidatos E-26 ALC'!A87:I436,8,FALSE)</f>
        <v>19727</v>
      </c>
      <c r="C79" s="5" t="s">
        <v>235</v>
      </c>
      <c r="D79" s="5" t="s">
        <v>260</v>
      </c>
      <c r="E79" s="5" t="s">
        <v>18</v>
      </c>
      <c r="F79" s="5" t="s">
        <v>15</v>
      </c>
      <c r="G79" s="5">
        <v>0</v>
      </c>
      <c r="H79" s="5"/>
      <c r="I79" s="5"/>
      <c r="J79" s="22" t="s">
        <v>1254</v>
      </c>
      <c r="K79" s="22" t="s">
        <v>1286</v>
      </c>
      <c r="L79" s="22" t="s">
        <v>1287</v>
      </c>
      <c r="M79" s="22" t="s">
        <v>1285</v>
      </c>
    </row>
    <row r="80" spans="1:13" ht="14.45" customHeight="1" x14ac:dyDescent="0.25">
      <c r="A80" s="5" t="s">
        <v>273</v>
      </c>
      <c r="B80" s="2">
        <f>VLOOKUP(A80,'Candidatos E-26 ALC'!A93:I442,8,FALSE)</f>
        <v>17708</v>
      </c>
      <c r="C80" s="5" t="s">
        <v>235</v>
      </c>
      <c r="D80" s="5" t="s">
        <v>274</v>
      </c>
      <c r="E80" s="5" t="s">
        <v>275</v>
      </c>
      <c r="F80" s="5" t="s">
        <v>15</v>
      </c>
      <c r="G80" s="5">
        <v>0</v>
      </c>
      <c r="H80" s="5"/>
      <c r="I80" s="5"/>
      <c r="J80" s="17"/>
      <c r="K80" s="17"/>
      <c r="L80" s="17"/>
      <c r="M80" s="17"/>
    </row>
    <row r="81" spans="1:13" ht="14.45" customHeight="1" x14ac:dyDescent="0.25">
      <c r="A81" s="5" t="s">
        <v>250</v>
      </c>
      <c r="B81" s="2">
        <f>VLOOKUP(A81,'Candidatos E-26 ALC'!A83:I432,8,FALSE)</f>
        <v>7080</v>
      </c>
      <c r="C81" s="5" t="s">
        <v>235</v>
      </c>
      <c r="D81" s="5" t="s">
        <v>251</v>
      </c>
      <c r="E81" s="5" t="s">
        <v>252</v>
      </c>
      <c r="F81" s="5" t="s">
        <v>15</v>
      </c>
      <c r="G81" s="5">
        <v>0</v>
      </c>
      <c r="H81" s="5"/>
      <c r="I81" s="5"/>
      <c r="J81" s="17"/>
      <c r="K81" s="17"/>
      <c r="L81" s="17"/>
      <c r="M81" s="17"/>
    </row>
    <row r="82" spans="1:13" ht="14.45" customHeight="1" x14ac:dyDescent="0.25">
      <c r="A82" s="2" t="s">
        <v>261</v>
      </c>
      <c r="B82" s="2">
        <f>VLOOKUP(A82,'Candidatos E-26 ALC'!A88:I437,8,FALSE)</f>
        <v>2973</v>
      </c>
      <c r="C82" s="2" t="s">
        <v>235</v>
      </c>
      <c r="D82" s="2" t="s">
        <v>262</v>
      </c>
      <c r="E82" s="2" t="s">
        <v>43</v>
      </c>
      <c r="F82" s="2" t="s">
        <v>15</v>
      </c>
      <c r="G82" s="2">
        <v>0</v>
      </c>
      <c r="H82" s="2"/>
      <c r="I82" s="2"/>
      <c r="J82" s="16"/>
      <c r="K82" s="16"/>
      <c r="L82" s="16"/>
      <c r="M82" s="16"/>
    </row>
    <row r="83" spans="1:13" ht="14.45" customHeight="1" x14ac:dyDescent="0.25">
      <c r="A83" s="2" t="s">
        <v>253</v>
      </c>
      <c r="B83" s="2">
        <f>VLOOKUP(A83,'Candidatos E-26 ALC'!A84:I433,8,FALSE)</f>
        <v>2127</v>
      </c>
      <c r="C83" s="2" t="s">
        <v>235</v>
      </c>
      <c r="D83" s="2" t="s">
        <v>254</v>
      </c>
      <c r="E83" s="2" t="s">
        <v>80</v>
      </c>
      <c r="F83" s="2" t="s">
        <v>15</v>
      </c>
      <c r="G83" s="2">
        <v>0</v>
      </c>
      <c r="H83" s="2"/>
      <c r="I83" s="2"/>
      <c r="J83" s="16"/>
      <c r="K83" s="16"/>
      <c r="L83" s="16"/>
      <c r="M83" s="16"/>
    </row>
    <row r="84" spans="1:13" ht="14.45" customHeight="1" x14ac:dyDescent="0.25">
      <c r="A84" s="5" t="s">
        <v>244</v>
      </c>
      <c r="B84" s="2">
        <f>VLOOKUP(A84,'Candidatos E-26 ALC'!A81:I430,8,FALSE)</f>
        <v>1734</v>
      </c>
      <c r="C84" s="5" t="s">
        <v>235</v>
      </c>
      <c r="D84" s="5" t="s">
        <v>245</v>
      </c>
      <c r="E84" s="5" t="s">
        <v>246</v>
      </c>
      <c r="F84" s="5" t="s">
        <v>15</v>
      </c>
      <c r="G84" s="5">
        <v>0</v>
      </c>
      <c r="H84" s="5"/>
      <c r="I84" s="5"/>
      <c r="J84" s="17"/>
      <c r="K84" s="17"/>
      <c r="L84" s="17"/>
      <c r="M84" s="17"/>
    </row>
    <row r="85" spans="1:13" ht="14.45" customHeight="1" x14ac:dyDescent="0.25">
      <c r="A85" s="5" t="s">
        <v>263</v>
      </c>
      <c r="B85" s="2">
        <f>VLOOKUP(A85,'Candidatos E-26 ALC'!A89:I438,8,FALSE)</f>
        <v>1608</v>
      </c>
      <c r="C85" s="5" t="s">
        <v>235</v>
      </c>
      <c r="D85" s="5" t="s">
        <v>264</v>
      </c>
      <c r="E85" s="5" t="s">
        <v>37</v>
      </c>
      <c r="F85" s="5" t="s">
        <v>15</v>
      </c>
      <c r="G85" s="5">
        <v>0</v>
      </c>
      <c r="H85" s="5"/>
      <c r="I85" s="5"/>
      <c r="J85" s="17"/>
      <c r="K85" s="17"/>
      <c r="L85" s="17"/>
      <c r="M85" s="17"/>
    </row>
    <row r="86" spans="1:13" ht="14.45" customHeight="1" x14ac:dyDescent="0.25">
      <c r="A86" s="5" t="s">
        <v>239</v>
      </c>
      <c r="B86" s="2">
        <f>VLOOKUP(A86,'Candidatos E-26 ALC'!A79:I428,8,FALSE)</f>
        <v>1022</v>
      </c>
      <c r="C86" s="5" t="s">
        <v>235</v>
      </c>
      <c r="D86" s="5" t="s">
        <v>240</v>
      </c>
      <c r="E86" s="5" t="s">
        <v>154</v>
      </c>
      <c r="F86" s="5" t="s">
        <v>15</v>
      </c>
      <c r="G86" s="5">
        <v>0</v>
      </c>
      <c r="H86" s="5"/>
      <c r="I86" s="5"/>
      <c r="J86" s="17"/>
      <c r="K86" s="17"/>
      <c r="L86" s="17"/>
      <c r="M86" s="17"/>
    </row>
    <row r="87" spans="1:13" ht="14.45" customHeight="1" x14ac:dyDescent="0.25">
      <c r="A87" s="2" t="s">
        <v>257</v>
      </c>
      <c r="B87" s="2">
        <f>VLOOKUP(A87,'Candidatos E-26 ALC'!A86:I435,8,FALSE)</f>
        <v>637</v>
      </c>
      <c r="C87" s="2" t="s">
        <v>235</v>
      </c>
      <c r="D87" s="2" t="s">
        <v>258</v>
      </c>
      <c r="E87" s="2" t="s">
        <v>14</v>
      </c>
      <c r="F87" s="2" t="s">
        <v>15</v>
      </c>
      <c r="G87" s="2">
        <v>0</v>
      </c>
      <c r="H87" s="2"/>
      <c r="I87" s="2"/>
      <c r="J87" s="16"/>
      <c r="K87" s="16"/>
      <c r="L87" s="16"/>
      <c r="M87" s="16"/>
    </row>
    <row r="88" spans="1:13" ht="14.45" customHeight="1" x14ac:dyDescent="0.25">
      <c r="A88" s="5" t="s">
        <v>255</v>
      </c>
      <c r="B88" s="2">
        <f>VLOOKUP(A88,'Candidatos E-26 ALC'!A85:I434,8,FALSE)</f>
        <v>537</v>
      </c>
      <c r="C88" s="5" t="s">
        <v>235</v>
      </c>
      <c r="D88" s="5" t="s">
        <v>256</v>
      </c>
      <c r="E88" s="5" t="s">
        <v>182</v>
      </c>
      <c r="F88" s="5" t="s">
        <v>15</v>
      </c>
      <c r="G88" s="5">
        <v>0</v>
      </c>
      <c r="H88" s="5"/>
      <c r="I88" s="5"/>
      <c r="J88" s="17"/>
      <c r="K88" s="35"/>
      <c r="L88" s="17"/>
      <c r="M88" s="17"/>
    </row>
    <row r="89" spans="1:13" ht="14.45" customHeight="1" x14ac:dyDescent="0.25">
      <c r="A89" s="5" t="s">
        <v>268</v>
      </c>
      <c r="B89" s="2">
        <f>VLOOKUP(A89,'Candidatos E-26 ALC'!A91:I440,8,FALSE)</f>
        <v>482</v>
      </c>
      <c r="C89" s="5" t="s">
        <v>235</v>
      </c>
      <c r="D89" s="5" t="s">
        <v>269</v>
      </c>
      <c r="E89" s="5" t="s">
        <v>21</v>
      </c>
      <c r="F89" s="5" t="s">
        <v>15</v>
      </c>
      <c r="G89" s="5">
        <v>0</v>
      </c>
      <c r="H89" s="5"/>
      <c r="I89" s="5"/>
      <c r="J89" s="17"/>
      <c r="K89" s="17"/>
      <c r="L89" s="17"/>
      <c r="M89" s="17"/>
    </row>
    <row r="90" spans="1:13" ht="14.45" customHeight="1" x14ac:dyDescent="0.25">
      <c r="A90" s="2" t="s">
        <v>241</v>
      </c>
      <c r="B90" s="2">
        <f>VLOOKUP(A90,'Candidatos E-26 ALC'!A80:I429,8,FALSE)</f>
        <v>345</v>
      </c>
      <c r="C90" s="2" t="s">
        <v>235</v>
      </c>
      <c r="D90" s="2" t="s">
        <v>242</v>
      </c>
      <c r="E90" s="2" t="s">
        <v>243</v>
      </c>
      <c r="F90" s="2" t="s">
        <v>15</v>
      </c>
      <c r="G90" s="2">
        <v>0</v>
      </c>
      <c r="H90" s="2"/>
      <c r="I90" s="2"/>
      <c r="J90" s="16"/>
      <c r="K90" s="16"/>
      <c r="L90" s="16"/>
      <c r="M90" s="16"/>
    </row>
    <row r="91" spans="1:13" ht="14.45" customHeight="1" x14ac:dyDescent="0.25">
      <c r="A91" s="2" t="s">
        <v>265</v>
      </c>
      <c r="B91" s="2">
        <f>VLOOKUP(A91,'Candidatos E-26 ALC'!A90:I439,8,FALSE)</f>
        <v>300</v>
      </c>
      <c r="C91" s="2" t="s">
        <v>235</v>
      </c>
      <c r="D91" s="2" t="s">
        <v>266</v>
      </c>
      <c r="E91" s="2" t="s">
        <v>267</v>
      </c>
      <c r="F91" s="2" t="s">
        <v>15</v>
      </c>
      <c r="G91" s="2">
        <v>0</v>
      </c>
      <c r="H91" s="2"/>
      <c r="I91" s="2"/>
      <c r="J91" s="16"/>
      <c r="K91" s="16"/>
      <c r="L91" s="16"/>
      <c r="M91" s="16"/>
    </row>
    <row r="92" spans="1:13" ht="14.45" customHeight="1" x14ac:dyDescent="0.25">
      <c r="A92" s="2" t="s">
        <v>234</v>
      </c>
      <c r="B92" s="2">
        <f>VLOOKUP(A92,'Candidatos E-26 ALC'!A78:I427,8,FALSE)</f>
        <v>179</v>
      </c>
      <c r="C92" s="2" t="s">
        <v>235</v>
      </c>
      <c r="D92" s="2" t="s">
        <v>238</v>
      </c>
      <c r="E92" s="2" t="s">
        <v>63</v>
      </c>
      <c r="F92" s="2" t="s">
        <v>15</v>
      </c>
      <c r="G92" s="2">
        <v>0</v>
      </c>
      <c r="H92" s="2"/>
      <c r="I92" s="2"/>
      <c r="J92" s="16"/>
      <c r="K92" s="16"/>
      <c r="L92" s="16"/>
      <c r="M92" s="16"/>
    </row>
    <row r="93" spans="1:13" ht="14.45" customHeight="1" x14ac:dyDescent="0.25">
      <c r="A93" s="2" t="s">
        <v>247</v>
      </c>
      <c r="B93" s="2">
        <f>VLOOKUP(A93,'Candidatos E-26 ALC'!A82:I431,8,FALSE)</f>
        <v>93</v>
      </c>
      <c r="C93" s="2" t="s">
        <v>235</v>
      </c>
      <c r="D93" s="2" t="s">
        <v>248</v>
      </c>
      <c r="E93" s="2" t="s">
        <v>249</v>
      </c>
      <c r="F93" s="2" t="s">
        <v>15</v>
      </c>
      <c r="G93" s="2">
        <v>0</v>
      </c>
      <c r="H93" s="2"/>
      <c r="I93" s="2"/>
      <c r="J93" s="16"/>
      <c r="K93" s="16"/>
      <c r="L93" s="16"/>
      <c r="M93" s="16"/>
    </row>
    <row r="94" spans="1:13" ht="14.45" customHeight="1" x14ac:dyDescent="0.25">
      <c r="A94" s="8" t="s">
        <v>280</v>
      </c>
      <c r="B94" s="2">
        <f>VLOOKUP(A94,'Candidatos E-26 ALC'!A95:I444,8,FALSE)</f>
        <v>318656</v>
      </c>
      <c r="C94" s="8" t="s">
        <v>277</v>
      </c>
      <c r="D94" s="8" t="s">
        <v>281</v>
      </c>
      <c r="E94" s="8" t="s">
        <v>282</v>
      </c>
      <c r="F94" s="8" t="s">
        <v>25</v>
      </c>
      <c r="G94" s="8">
        <v>1</v>
      </c>
      <c r="H94" s="8"/>
      <c r="I94" s="8"/>
      <c r="J94" s="23" t="s">
        <v>950</v>
      </c>
      <c r="K94" s="23" t="s">
        <v>951</v>
      </c>
      <c r="L94" s="23" t="s">
        <v>952</v>
      </c>
      <c r="M94" s="23" t="s">
        <v>953</v>
      </c>
    </row>
    <row r="95" spans="1:13" ht="14.45" customHeight="1" x14ac:dyDescent="0.25">
      <c r="A95" s="2" t="s">
        <v>294</v>
      </c>
      <c r="B95" s="2">
        <f>VLOOKUP(A95,'Candidatos E-26 ALC'!A100:I449,8,FALSE)</f>
        <v>221038</v>
      </c>
      <c r="C95" s="2" t="s">
        <v>277</v>
      </c>
      <c r="D95" s="2" t="s">
        <v>295</v>
      </c>
      <c r="E95" s="2" t="s">
        <v>296</v>
      </c>
      <c r="F95" s="2" t="s">
        <v>15</v>
      </c>
      <c r="G95" s="2">
        <v>0</v>
      </c>
      <c r="H95" s="2"/>
      <c r="I95" s="2"/>
      <c r="J95" s="23" t="s">
        <v>980</v>
      </c>
      <c r="K95" s="23" t="s">
        <v>981</v>
      </c>
      <c r="L95" s="23" t="s">
        <v>982</v>
      </c>
      <c r="M95" s="23" t="s">
        <v>979</v>
      </c>
    </row>
    <row r="96" spans="1:13" ht="14.45" customHeight="1" x14ac:dyDescent="0.25">
      <c r="A96" s="2" t="s">
        <v>299</v>
      </c>
      <c r="B96" s="2">
        <f>VLOOKUP(A96,'Candidatos E-26 ALC'!A102:I451,8,FALSE)</f>
        <v>86853</v>
      </c>
      <c r="C96" s="2" t="s">
        <v>277</v>
      </c>
      <c r="D96" s="2" t="s">
        <v>300</v>
      </c>
      <c r="E96" s="2" t="s">
        <v>301</v>
      </c>
      <c r="F96" s="2" t="s">
        <v>15</v>
      </c>
      <c r="G96" s="2">
        <v>0</v>
      </c>
      <c r="H96" s="2"/>
      <c r="I96" s="2"/>
      <c r="J96" s="23" t="s">
        <v>1012</v>
      </c>
      <c r="K96" s="23" t="s">
        <v>1011</v>
      </c>
      <c r="L96" s="23" t="s">
        <v>1010</v>
      </c>
      <c r="M96" s="23" t="s">
        <v>1009</v>
      </c>
    </row>
    <row r="97" spans="1:13" ht="14.45" customHeight="1" x14ac:dyDescent="0.25">
      <c r="A97" s="2" t="s">
        <v>289</v>
      </c>
      <c r="B97" s="2">
        <f>VLOOKUP(A97,'Candidatos E-26 ALC'!A98:I447,8,FALSE)</f>
        <v>34529</v>
      </c>
      <c r="C97" s="2" t="s">
        <v>277</v>
      </c>
      <c r="D97" s="2" t="s">
        <v>290</v>
      </c>
      <c r="E97" s="2" t="s">
        <v>291</v>
      </c>
      <c r="F97" s="2" t="s">
        <v>15</v>
      </c>
      <c r="G97" s="2">
        <v>0</v>
      </c>
      <c r="H97" s="2"/>
      <c r="I97" s="2"/>
      <c r="J97" s="21" t="s">
        <v>1165</v>
      </c>
      <c r="K97" s="21" t="s">
        <v>1168</v>
      </c>
      <c r="L97" s="21" t="s">
        <v>1166</v>
      </c>
      <c r="M97" s="21" t="s">
        <v>1167</v>
      </c>
    </row>
    <row r="98" spans="1:13" ht="14.45" customHeight="1" x14ac:dyDescent="0.25">
      <c r="A98" s="5" t="s">
        <v>292</v>
      </c>
      <c r="B98" s="2">
        <f>VLOOKUP(A98,'Candidatos E-26 ALC'!A99:I448,8,FALSE)</f>
        <v>19151</v>
      </c>
      <c r="C98" s="5" t="s">
        <v>277</v>
      </c>
      <c r="D98" s="5" t="s">
        <v>293</v>
      </c>
      <c r="E98" s="5" t="s">
        <v>80</v>
      </c>
      <c r="F98" s="5" t="s">
        <v>15</v>
      </c>
      <c r="G98" s="5">
        <v>0</v>
      </c>
      <c r="H98" s="5"/>
      <c r="I98" s="5"/>
      <c r="J98" s="22" t="s">
        <v>1422</v>
      </c>
      <c r="K98" s="22" t="s">
        <v>1424</v>
      </c>
      <c r="L98" s="22" t="s">
        <v>1423</v>
      </c>
      <c r="M98" s="22" t="s">
        <v>1296</v>
      </c>
    </row>
    <row r="99" spans="1:13" ht="14.45" customHeight="1" x14ac:dyDescent="0.25">
      <c r="A99" s="5" t="s">
        <v>302</v>
      </c>
      <c r="B99" s="2">
        <f>VLOOKUP(A99,'Candidatos E-26 ALC'!A103:I452,8,FALSE)</f>
        <v>11067</v>
      </c>
      <c r="C99" s="5" t="s">
        <v>277</v>
      </c>
      <c r="D99" s="5" t="s">
        <v>303</v>
      </c>
      <c r="E99" s="5" t="s">
        <v>154</v>
      </c>
      <c r="F99" s="5" t="s">
        <v>15</v>
      </c>
      <c r="G99" s="5">
        <v>0</v>
      </c>
      <c r="H99" s="5"/>
      <c r="I99" s="5"/>
      <c r="J99" s="22" t="s">
        <v>1388</v>
      </c>
      <c r="K99" s="22" t="s">
        <v>1389</v>
      </c>
      <c r="L99" s="22" t="s">
        <v>1391</v>
      </c>
      <c r="M99" s="22" t="s">
        <v>1390</v>
      </c>
    </row>
    <row r="100" spans="1:13" ht="14.45" customHeight="1" x14ac:dyDescent="0.25">
      <c r="A100" s="5" t="s">
        <v>286</v>
      </c>
      <c r="B100" s="2">
        <f>VLOOKUP(A100,'Candidatos E-26 ALC'!A97:I446,8,FALSE)</f>
        <v>5380</v>
      </c>
      <c r="C100" s="5" t="s">
        <v>277</v>
      </c>
      <c r="D100" s="5" t="s">
        <v>287</v>
      </c>
      <c r="E100" s="5" t="s">
        <v>288</v>
      </c>
      <c r="F100" s="5" t="s">
        <v>15</v>
      </c>
      <c r="G100" s="5">
        <v>0</v>
      </c>
      <c r="H100" s="5"/>
      <c r="I100" s="5"/>
      <c r="J100" s="17"/>
      <c r="K100" s="17"/>
      <c r="L100" s="17"/>
      <c r="M100" s="17"/>
    </row>
    <row r="101" spans="1:13" ht="14.45" customHeight="1" x14ac:dyDescent="0.25">
      <c r="A101" s="5" t="s">
        <v>297</v>
      </c>
      <c r="B101" s="2">
        <f>VLOOKUP(A101,'Candidatos E-26 ALC'!A101:I450,8,FALSE)</f>
        <v>4109</v>
      </c>
      <c r="C101" s="5" t="s">
        <v>277</v>
      </c>
      <c r="D101" s="5" t="s">
        <v>298</v>
      </c>
      <c r="E101" s="5" t="s">
        <v>40</v>
      </c>
      <c r="F101" s="5" t="s">
        <v>15</v>
      </c>
      <c r="G101" s="5">
        <v>0</v>
      </c>
      <c r="H101" s="5"/>
      <c r="I101" s="5"/>
      <c r="J101" s="17"/>
      <c r="K101" s="17"/>
      <c r="L101" s="17"/>
      <c r="M101" s="17"/>
    </row>
    <row r="102" spans="1:13" ht="14.45" customHeight="1" x14ac:dyDescent="0.25">
      <c r="A102" s="2" t="s">
        <v>283</v>
      </c>
      <c r="B102" s="2">
        <f>VLOOKUP(A102,'Candidatos E-26 ALC'!A96:I445,8,FALSE)</f>
        <v>1947</v>
      </c>
      <c r="C102" s="2" t="s">
        <v>277</v>
      </c>
      <c r="D102" s="2" t="s">
        <v>284</v>
      </c>
      <c r="E102" s="2" t="s">
        <v>285</v>
      </c>
      <c r="F102" s="2" t="s">
        <v>15</v>
      </c>
      <c r="G102" s="2">
        <v>0</v>
      </c>
      <c r="H102" s="2"/>
      <c r="I102" s="2"/>
      <c r="J102" s="16"/>
      <c r="K102" s="16"/>
      <c r="L102" s="16"/>
      <c r="M102" s="16"/>
    </row>
    <row r="103" spans="1:13" ht="14.45" customHeight="1" x14ac:dyDescent="0.25">
      <c r="A103" s="2" t="s">
        <v>276</v>
      </c>
      <c r="B103" s="2">
        <f>VLOOKUP(A103,'Candidatos E-26 ALC'!A94:I443,8,FALSE)</f>
        <v>1245</v>
      </c>
      <c r="C103" s="2" t="s">
        <v>277</v>
      </c>
      <c r="D103" s="2" t="s">
        <v>279</v>
      </c>
      <c r="E103" s="2" t="s">
        <v>249</v>
      </c>
      <c r="F103" s="2" t="s">
        <v>15</v>
      </c>
      <c r="G103" s="2">
        <v>0</v>
      </c>
      <c r="H103" s="2"/>
      <c r="I103" s="2"/>
      <c r="J103" s="16"/>
      <c r="K103" s="16"/>
      <c r="L103" s="16"/>
      <c r="M103" s="16"/>
    </row>
    <row r="104" spans="1:13" ht="14.45" customHeight="1" x14ac:dyDescent="0.25">
      <c r="A104" s="8" t="s">
        <v>332</v>
      </c>
      <c r="B104" s="2">
        <f>VLOOKUP(A104,'Candidatos E-26 ALC'!A115:I464,8,FALSE)</f>
        <v>160548</v>
      </c>
      <c r="C104" s="8" t="s">
        <v>305</v>
      </c>
      <c r="D104" s="8" t="s">
        <v>333</v>
      </c>
      <c r="E104" s="8" t="s">
        <v>334</v>
      </c>
      <c r="F104" s="8" t="s">
        <v>25</v>
      </c>
      <c r="G104" s="8">
        <v>1</v>
      </c>
      <c r="H104" s="8"/>
      <c r="I104" s="8"/>
      <c r="J104" s="23" t="s">
        <v>954</v>
      </c>
      <c r="K104" s="23" t="s">
        <v>955</v>
      </c>
      <c r="L104" s="23" t="s">
        <v>983</v>
      </c>
      <c r="M104" s="23" t="s">
        <v>956</v>
      </c>
    </row>
    <row r="105" spans="1:13" ht="14.45" customHeight="1" x14ac:dyDescent="0.25">
      <c r="A105" s="5" t="s">
        <v>327</v>
      </c>
      <c r="B105" s="2">
        <f>VLOOKUP(A105,'Candidatos E-26 ALC'!A113:I462,8,FALSE)</f>
        <v>56893</v>
      </c>
      <c r="C105" s="5" t="s">
        <v>305</v>
      </c>
      <c r="D105" s="5" t="s">
        <v>328</v>
      </c>
      <c r="E105" s="5" t="s">
        <v>227</v>
      </c>
      <c r="F105" s="5" t="s">
        <v>15</v>
      </c>
      <c r="G105" s="5">
        <v>0</v>
      </c>
      <c r="H105" s="5"/>
      <c r="I105" s="5"/>
      <c r="J105" s="22" t="s">
        <v>1086</v>
      </c>
      <c r="K105" s="22" t="s">
        <v>1087</v>
      </c>
      <c r="L105" s="22" t="s">
        <v>1088</v>
      </c>
      <c r="M105" s="22" t="s">
        <v>1089</v>
      </c>
    </row>
    <row r="106" spans="1:13" ht="14.45" customHeight="1" x14ac:dyDescent="0.25">
      <c r="A106" s="2" t="s">
        <v>329</v>
      </c>
      <c r="B106" s="2">
        <f>VLOOKUP(A106,'Candidatos E-26 ALC'!A114:I463,8,FALSE)</f>
        <v>38016</v>
      </c>
      <c r="C106" s="2" t="s">
        <v>305</v>
      </c>
      <c r="D106" s="2" t="s">
        <v>330</v>
      </c>
      <c r="E106" s="2" t="s">
        <v>331</v>
      </c>
      <c r="F106" s="2" t="s">
        <v>15</v>
      </c>
      <c r="G106" s="2">
        <v>0</v>
      </c>
      <c r="H106" s="2"/>
      <c r="I106" s="2"/>
      <c r="J106" s="21" t="s">
        <v>1142</v>
      </c>
      <c r="K106" s="21" t="s">
        <v>1143</v>
      </c>
      <c r="L106" s="21" t="s">
        <v>1144</v>
      </c>
      <c r="M106" s="21" t="s">
        <v>1145</v>
      </c>
    </row>
    <row r="107" spans="1:13" ht="14.45" customHeight="1" x14ac:dyDescent="0.25">
      <c r="A107" s="5" t="s">
        <v>309</v>
      </c>
      <c r="B107" s="2">
        <f>VLOOKUP(A107,'Candidatos E-26 ALC'!A105:I454,8,FALSE)</f>
        <v>35885</v>
      </c>
      <c r="C107" s="5" t="s">
        <v>305</v>
      </c>
      <c r="D107" s="5" t="s">
        <v>310</v>
      </c>
      <c r="E107" s="5" t="s">
        <v>311</v>
      </c>
      <c r="F107" s="5" t="s">
        <v>15</v>
      </c>
      <c r="G107" s="5">
        <v>0</v>
      </c>
      <c r="H107" s="5"/>
      <c r="I107" s="5"/>
      <c r="J107" s="22" t="s">
        <v>1157</v>
      </c>
      <c r="K107" s="22" t="s">
        <v>1158</v>
      </c>
      <c r="L107" s="22" t="s">
        <v>1159</v>
      </c>
      <c r="M107" s="22" t="s">
        <v>1160</v>
      </c>
    </row>
    <row r="108" spans="1:13" ht="14.45" customHeight="1" x14ac:dyDescent="0.25">
      <c r="A108" s="2" t="s">
        <v>325</v>
      </c>
      <c r="B108" s="2">
        <f>VLOOKUP(A108,'Candidatos E-26 ALC'!A112:I461,8,FALSE)</f>
        <v>23662</v>
      </c>
      <c r="C108" s="2" t="s">
        <v>305</v>
      </c>
      <c r="D108" s="2" t="s">
        <v>326</v>
      </c>
      <c r="E108" s="2" t="s">
        <v>154</v>
      </c>
      <c r="F108" s="2" t="s">
        <v>15</v>
      </c>
      <c r="G108" s="2">
        <v>0</v>
      </c>
      <c r="H108" s="2"/>
      <c r="I108" s="2"/>
      <c r="J108" s="21" t="s">
        <v>1247</v>
      </c>
      <c r="K108" s="21" t="s">
        <v>1246</v>
      </c>
      <c r="L108" s="21" t="s">
        <v>1248</v>
      </c>
      <c r="M108" s="21" t="s">
        <v>1245</v>
      </c>
    </row>
    <row r="109" spans="1:13" ht="14.45" customHeight="1" x14ac:dyDescent="0.25">
      <c r="A109" s="2" t="s">
        <v>312</v>
      </c>
      <c r="B109" s="2">
        <f>VLOOKUP(A109,'Candidatos E-26 ALC'!A106:I455,8,FALSE)</f>
        <v>5786</v>
      </c>
      <c r="C109" s="2" t="s">
        <v>305</v>
      </c>
      <c r="D109" s="2" t="s">
        <v>313</v>
      </c>
      <c r="E109" s="2" t="s">
        <v>71</v>
      </c>
      <c r="F109" s="2" t="s">
        <v>15</v>
      </c>
      <c r="G109" s="2">
        <v>0</v>
      </c>
      <c r="H109" s="2"/>
      <c r="I109" s="2"/>
      <c r="J109" s="16"/>
      <c r="K109" s="16"/>
      <c r="L109" s="16"/>
      <c r="M109" s="16"/>
    </row>
    <row r="110" spans="1:13" ht="14.45" customHeight="1" x14ac:dyDescent="0.25">
      <c r="A110" s="2" t="s">
        <v>321</v>
      </c>
      <c r="B110" s="2">
        <f>VLOOKUP(A110,'Candidatos E-26 ALC'!A110:I459,8,FALSE)</f>
        <v>4676</v>
      </c>
      <c r="C110" s="2" t="s">
        <v>305</v>
      </c>
      <c r="D110" s="2" t="s">
        <v>322</v>
      </c>
      <c r="E110" s="2" t="s">
        <v>14</v>
      </c>
      <c r="F110" s="2" t="s">
        <v>15</v>
      </c>
      <c r="G110" s="2">
        <v>0</v>
      </c>
      <c r="H110" s="2"/>
      <c r="I110" s="2"/>
      <c r="J110" s="16"/>
      <c r="K110" s="16"/>
      <c r="L110" s="16"/>
      <c r="M110" s="16"/>
    </row>
    <row r="111" spans="1:13" ht="14.45" customHeight="1" x14ac:dyDescent="0.25">
      <c r="A111" s="2" t="s">
        <v>316</v>
      </c>
      <c r="B111" s="2">
        <f>VLOOKUP(A111,'Candidatos E-26 ALC'!A108:I457,8,FALSE)</f>
        <v>3188</v>
      </c>
      <c r="C111" s="2" t="s">
        <v>305</v>
      </c>
      <c r="D111" s="2" t="s">
        <v>317</v>
      </c>
      <c r="E111" s="2" t="s">
        <v>126</v>
      </c>
      <c r="F111" s="2" t="s">
        <v>15</v>
      </c>
      <c r="G111" s="2">
        <v>0</v>
      </c>
      <c r="H111" s="2"/>
      <c r="I111" s="2"/>
      <c r="J111" s="16"/>
      <c r="K111" s="16"/>
      <c r="L111" s="16"/>
      <c r="M111" s="16"/>
    </row>
    <row r="112" spans="1:13" ht="14.45" customHeight="1" x14ac:dyDescent="0.25">
      <c r="A112" s="5" t="s">
        <v>314</v>
      </c>
      <c r="B112" s="2">
        <f>VLOOKUP(A112,'Candidatos E-26 ALC'!A107:I456,8,FALSE)</f>
        <v>2753</v>
      </c>
      <c r="C112" s="5" t="s">
        <v>305</v>
      </c>
      <c r="D112" s="5" t="s">
        <v>315</v>
      </c>
      <c r="E112" s="5" t="s">
        <v>40</v>
      </c>
      <c r="F112" s="5" t="s">
        <v>15</v>
      </c>
      <c r="G112" s="5">
        <v>0</v>
      </c>
      <c r="H112" s="5"/>
      <c r="I112" s="5"/>
      <c r="J112" s="17"/>
      <c r="K112" s="17"/>
      <c r="L112" s="17"/>
      <c r="M112" s="17"/>
    </row>
    <row r="113" spans="1:16" ht="14.45" customHeight="1" x14ac:dyDescent="0.25">
      <c r="A113" s="5" t="s">
        <v>323</v>
      </c>
      <c r="B113" s="2">
        <f>VLOOKUP(A113,'Candidatos E-26 ALC'!A111:I460,8,FALSE)</f>
        <v>1879</v>
      </c>
      <c r="C113" s="5" t="s">
        <v>305</v>
      </c>
      <c r="D113" s="5" t="s">
        <v>324</v>
      </c>
      <c r="E113" s="5" t="s">
        <v>63</v>
      </c>
      <c r="F113" s="5" t="s">
        <v>15</v>
      </c>
      <c r="G113" s="5">
        <v>0</v>
      </c>
      <c r="H113" s="5"/>
      <c r="I113" s="5"/>
      <c r="J113" s="17"/>
      <c r="K113" s="17"/>
      <c r="L113" s="17"/>
      <c r="M113" s="17"/>
    </row>
    <row r="114" spans="1:16" ht="14.45" customHeight="1" x14ac:dyDescent="0.25">
      <c r="A114" s="5" t="s">
        <v>318</v>
      </c>
      <c r="B114" s="2">
        <f>VLOOKUP(A114,'Candidatos E-26 ALC'!A109:I458,8,FALSE)</f>
        <v>1579</v>
      </c>
      <c r="C114" s="5" t="s">
        <v>305</v>
      </c>
      <c r="D114" s="5" t="s">
        <v>319</v>
      </c>
      <c r="E114" s="5" t="s">
        <v>320</v>
      </c>
      <c r="F114" s="5" t="s">
        <v>15</v>
      </c>
      <c r="G114" s="5">
        <v>0</v>
      </c>
      <c r="H114" s="5"/>
      <c r="I114" s="5"/>
      <c r="J114" s="17"/>
      <c r="K114" s="17"/>
      <c r="L114" s="17"/>
      <c r="M114" s="17"/>
    </row>
    <row r="115" spans="1:16" ht="14.45" customHeight="1" x14ac:dyDescent="0.25">
      <c r="A115" s="2" t="s">
        <v>304</v>
      </c>
      <c r="B115" s="2">
        <f>VLOOKUP(A115,'Candidatos E-26 ALC'!A104:I453,8,FALSE)</f>
        <v>1173</v>
      </c>
      <c r="C115" s="2" t="s">
        <v>305</v>
      </c>
      <c r="D115" s="2" t="s">
        <v>308</v>
      </c>
      <c r="E115" s="2" t="s">
        <v>99</v>
      </c>
      <c r="F115" s="2" t="s">
        <v>15</v>
      </c>
      <c r="G115" s="2">
        <v>0</v>
      </c>
      <c r="H115" s="2"/>
      <c r="I115" s="2"/>
      <c r="J115" s="16"/>
      <c r="K115" s="16"/>
      <c r="L115" s="16"/>
      <c r="M115" s="16"/>
    </row>
    <row r="116" spans="1:16" ht="14.45" customHeight="1" x14ac:dyDescent="0.25">
      <c r="A116" s="8" t="s">
        <v>360</v>
      </c>
      <c r="B116" s="2">
        <f>VLOOKUP(A116,'Candidatos E-26 ALC'!A126:I475,8,FALSE)</f>
        <v>89753</v>
      </c>
      <c r="C116" s="8" t="s">
        <v>336</v>
      </c>
      <c r="D116" s="8" t="s">
        <v>361</v>
      </c>
      <c r="E116" s="8" t="s">
        <v>362</v>
      </c>
      <c r="F116" s="8" t="s">
        <v>25</v>
      </c>
      <c r="G116" s="8">
        <v>1</v>
      </c>
      <c r="H116" s="8"/>
      <c r="I116" s="8"/>
      <c r="J116" s="23" t="s">
        <v>997</v>
      </c>
      <c r="K116" s="23" t="s">
        <v>1000</v>
      </c>
      <c r="L116" s="23" t="s">
        <v>999</v>
      </c>
      <c r="M116" s="23" t="s">
        <v>998</v>
      </c>
    </row>
    <row r="117" spans="1:16" ht="14.45" customHeight="1" x14ac:dyDescent="0.25">
      <c r="A117" s="2" t="s">
        <v>366</v>
      </c>
      <c r="B117" s="2">
        <f>VLOOKUP(A117,'Candidatos E-26 ALC'!A128:I477,8,FALSE)</f>
        <v>87424</v>
      </c>
      <c r="C117" s="2" t="s">
        <v>336</v>
      </c>
      <c r="D117" s="2" t="s">
        <v>367</v>
      </c>
      <c r="E117" s="2" t="s">
        <v>368</v>
      </c>
      <c r="F117" s="2" t="s">
        <v>15</v>
      </c>
      <c r="G117" s="2">
        <v>0</v>
      </c>
      <c r="H117" s="2"/>
      <c r="I117" s="2"/>
      <c r="J117" s="23" t="s">
        <v>1005</v>
      </c>
      <c r="K117" s="23" t="s">
        <v>1006</v>
      </c>
      <c r="L117" s="23" t="s">
        <v>1007</v>
      </c>
      <c r="M117" s="23" t="s">
        <v>1008</v>
      </c>
    </row>
    <row r="118" spans="1:16" ht="14.45" customHeight="1" x14ac:dyDescent="0.25">
      <c r="A118" s="5" t="s">
        <v>357</v>
      </c>
      <c r="B118" s="2">
        <f>VLOOKUP(A118,'Candidatos E-26 ALC'!A125:I474,8,FALSE)</f>
        <v>44292</v>
      </c>
      <c r="C118" s="5" t="s">
        <v>336</v>
      </c>
      <c r="D118" s="5" t="s">
        <v>358</v>
      </c>
      <c r="E118" s="5" t="s">
        <v>359</v>
      </c>
      <c r="F118" s="5" t="s">
        <v>15</v>
      </c>
      <c r="G118" s="5">
        <v>0</v>
      </c>
      <c r="H118" s="5"/>
      <c r="I118" s="5"/>
      <c r="J118" s="22" t="s">
        <v>1127</v>
      </c>
      <c r="K118" s="22" t="s">
        <v>1125</v>
      </c>
      <c r="L118" s="22" t="s">
        <v>1126</v>
      </c>
      <c r="M118" s="22" t="s">
        <v>1124</v>
      </c>
    </row>
    <row r="119" spans="1:16" ht="14.45" customHeight="1" x14ac:dyDescent="0.25">
      <c r="A119" s="2" t="s">
        <v>351</v>
      </c>
      <c r="B119" s="2">
        <f>VLOOKUP(A119,'Candidatos E-26 ALC'!A122:I471,8,FALSE)</f>
        <v>15856</v>
      </c>
      <c r="C119" s="2" t="s">
        <v>336</v>
      </c>
      <c r="D119" s="2" t="s">
        <v>352</v>
      </c>
      <c r="E119" s="2" t="s">
        <v>80</v>
      </c>
      <c r="F119" s="2" t="s">
        <v>15</v>
      </c>
      <c r="G119" s="2">
        <v>0</v>
      </c>
      <c r="H119" s="2"/>
      <c r="I119" s="2"/>
      <c r="J119" s="21" t="s">
        <v>1311</v>
      </c>
      <c r="K119" s="21" t="s">
        <v>1312</v>
      </c>
      <c r="L119" s="21" t="s">
        <v>1313</v>
      </c>
      <c r="M119" s="21" t="s">
        <v>1314</v>
      </c>
    </row>
    <row r="120" spans="1:16" ht="14.45" customHeight="1" x14ac:dyDescent="0.25">
      <c r="A120" s="5" t="s">
        <v>369</v>
      </c>
      <c r="B120" s="2">
        <f>VLOOKUP(A120,'Candidatos E-26 ALC'!A129:I478,8,FALSE)</f>
        <v>12796</v>
      </c>
      <c r="C120" s="5" t="s">
        <v>336</v>
      </c>
      <c r="D120" s="5" t="s">
        <v>370</v>
      </c>
      <c r="E120" s="5" t="s">
        <v>71</v>
      </c>
      <c r="F120" s="5" t="s">
        <v>15</v>
      </c>
      <c r="G120" s="5">
        <v>0</v>
      </c>
      <c r="H120" s="5"/>
      <c r="I120" s="5"/>
      <c r="J120" s="22" t="s">
        <v>1360</v>
      </c>
      <c r="K120" s="22" t="s">
        <v>1361</v>
      </c>
      <c r="L120" s="22" t="s">
        <v>1362</v>
      </c>
      <c r="M120" s="22" t="s">
        <v>1363</v>
      </c>
    </row>
    <row r="121" spans="1:16" ht="14.45" customHeight="1" x14ac:dyDescent="0.25">
      <c r="A121" s="5" t="s">
        <v>363</v>
      </c>
      <c r="B121" s="2">
        <f>VLOOKUP(A121,'Candidatos E-26 ALC'!A127:I476,8,FALSE)</f>
        <v>11926</v>
      </c>
      <c r="C121" s="5" t="s">
        <v>336</v>
      </c>
      <c r="D121" s="5" t="s">
        <v>364</v>
      </c>
      <c r="E121" s="5" t="s">
        <v>365</v>
      </c>
      <c r="F121" s="5" t="s">
        <v>15</v>
      </c>
      <c r="G121" s="5">
        <v>0</v>
      </c>
      <c r="H121" s="5"/>
      <c r="I121" s="5"/>
      <c r="J121" s="22" t="s">
        <v>1371</v>
      </c>
      <c r="K121" s="22" t="s">
        <v>1372</v>
      </c>
      <c r="L121" s="22" t="s">
        <v>1373</v>
      </c>
      <c r="M121" s="22" t="s">
        <v>1374</v>
      </c>
    </row>
    <row r="122" spans="1:16" ht="14.45" customHeight="1" x14ac:dyDescent="0.25">
      <c r="A122" s="5" t="s">
        <v>349</v>
      </c>
      <c r="B122" s="2">
        <f>VLOOKUP(A122,'Candidatos E-26 ALC'!A121:I470,8,FALSE)</f>
        <v>9301</v>
      </c>
      <c r="C122" s="5" t="s">
        <v>336</v>
      </c>
      <c r="D122" s="5" t="s">
        <v>350</v>
      </c>
      <c r="E122" s="5" t="s">
        <v>154</v>
      </c>
      <c r="F122" s="5" t="s">
        <v>15</v>
      </c>
      <c r="G122" s="5">
        <v>0</v>
      </c>
      <c r="H122" s="5"/>
      <c r="I122" s="5"/>
      <c r="J122" s="17"/>
      <c r="K122" s="17"/>
      <c r="L122" s="17"/>
      <c r="M122" s="17"/>
    </row>
    <row r="123" spans="1:16" ht="14.45" customHeight="1" x14ac:dyDescent="0.25">
      <c r="A123" s="2" t="s">
        <v>355</v>
      </c>
      <c r="B123" s="2">
        <f>VLOOKUP(A123,'Candidatos E-26 ALC'!A124:I473,8,FALSE)</f>
        <v>6144</v>
      </c>
      <c r="C123" s="2" t="s">
        <v>336</v>
      </c>
      <c r="D123" s="2" t="s">
        <v>356</v>
      </c>
      <c r="E123" s="2" t="s">
        <v>252</v>
      </c>
      <c r="F123" s="2" t="s">
        <v>15</v>
      </c>
      <c r="G123" s="2">
        <v>0</v>
      </c>
      <c r="H123" s="2"/>
      <c r="I123" s="2"/>
      <c r="J123" s="16"/>
      <c r="K123" s="16"/>
      <c r="L123" s="16"/>
      <c r="M123" s="16"/>
    </row>
    <row r="124" spans="1:16" ht="14.45" customHeight="1" x14ac:dyDescent="0.25">
      <c r="A124" s="2" t="s">
        <v>346</v>
      </c>
      <c r="B124" s="2">
        <f>VLOOKUP(A124,'Candidatos E-26 ALC'!A120:I469,8,FALSE)</f>
        <v>5790</v>
      </c>
      <c r="C124" s="2" t="s">
        <v>336</v>
      </c>
      <c r="D124" s="2" t="s">
        <v>347</v>
      </c>
      <c r="E124" s="2" t="s">
        <v>348</v>
      </c>
      <c r="F124" s="2" t="s">
        <v>15</v>
      </c>
      <c r="G124" s="2">
        <v>0</v>
      </c>
      <c r="H124" s="2"/>
      <c r="I124" s="2"/>
      <c r="J124" s="16"/>
      <c r="K124" s="16"/>
      <c r="L124" s="16"/>
      <c r="M124" s="16"/>
    </row>
    <row r="125" spans="1:16" ht="14.45" customHeight="1" x14ac:dyDescent="0.25">
      <c r="A125" s="5" t="s">
        <v>340</v>
      </c>
      <c r="B125" s="2">
        <f>VLOOKUP(A125,'Candidatos E-26 ALC'!A117:I466,8,FALSE)</f>
        <v>5387</v>
      </c>
      <c r="C125" s="5" t="s">
        <v>336</v>
      </c>
      <c r="D125" s="5" t="s">
        <v>341</v>
      </c>
      <c r="E125" s="5" t="s">
        <v>43</v>
      </c>
      <c r="F125" s="5" t="s">
        <v>15</v>
      </c>
      <c r="G125" s="5">
        <v>0</v>
      </c>
      <c r="H125" s="5"/>
      <c r="I125" s="5"/>
      <c r="J125" s="17"/>
      <c r="K125" s="17"/>
      <c r="L125" s="17"/>
      <c r="M125" s="17"/>
      <c r="P125" s="31"/>
    </row>
    <row r="126" spans="1:16" ht="14.45" customHeight="1" x14ac:dyDescent="0.25">
      <c r="A126" s="5" t="s">
        <v>344</v>
      </c>
      <c r="B126" s="2">
        <f>VLOOKUP(A126,'Candidatos E-26 ALC'!A119:I468,8,FALSE)</f>
        <v>3388</v>
      </c>
      <c r="C126" s="5" t="s">
        <v>336</v>
      </c>
      <c r="D126" s="5" t="s">
        <v>345</v>
      </c>
      <c r="E126" s="5" t="s">
        <v>160</v>
      </c>
      <c r="F126" s="5" t="s">
        <v>15</v>
      </c>
      <c r="G126" s="5">
        <v>0</v>
      </c>
      <c r="H126" s="5"/>
      <c r="I126" s="5"/>
      <c r="J126" s="17"/>
      <c r="K126" s="17"/>
      <c r="L126" s="17"/>
      <c r="M126" s="17"/>
    </row>
    <row r="127" spans="1:16" ht="14.45" customHeight="1" x14ac:dyDescent="0.25">
      <c r="A127" s="5" t="s">
        <v>353</v>
      </c>
      <c r="B127" s="2">
        <f>VLOOKUP(A127,'Candidatos E-26 ALC'!A123:I472,8,FALSE)</f>
        <v>2382</v>
      </c>
      <c r="C127" s="5" t="s">
        <v>336</v>
      </c>
      <c r="D127" s="5" t="s">
        <v>354</v>
      </c>
      <c r="E127" s="5" t="s">
        <v>34</v>
      </c>
      <c r="F127" s="5" t="s">
        <v>15</v>
      </c>
      <c r="G127" s="5">
        <v>0</v>
      </c>
      <c r="H127" s="5"/>
      <c r="I127" s="5"/>
      <c r="J127" s="17"/>
      <c r="K127" s="17"/>
      <c r="L127" s="17"/>
      <c r="M127" s="17"/>
    </row>
    <row r="128" spans="1:16" ht="14.45" customHeight="1" x14ac:dyDescent="0.25">
      <c r="A128" s="2" t="s">
        <v>335</v>
      </c>
      <c r="B128" s="2">
        <f>VLOOKUP(A128,'Candidatos E-26 ALC'!A116:I465,8,FALSE)</f>
        <v>1521</v>
      </c>
      <c r="C128" s="2" t="s">
        <v>336</v>
      </c>
      <c r="D128" s="2" t="s">
        <v>339</v>
      </c>
      <c r="E128" s="2" t="s">
        <v>63</v>
      </c>
      <c r="F128" s="2" t="s">
        <v>15</v>
      </c>
      <c r="G128" s="2">
        <v>0</v>
      </c>
      <c r="H128" s="2"/>
      <c r="I128" s="2"/>
      <c r="J128" s="16"/>
      <c r="K128" s="16"/>
      <c r="L128" s="16"/>
      <c r="M128" s="16"/>
    </row>
    <row r="129" spans="1:13" ht="14.45" customHeight="1" x14ac:dyDescent="0.25">
      <c r="A129" s="2" t="s">
        <v>342</v>
      </c>
      <c r="B129" s="2">
        <f>VLOOKUP(A129,'Candidatos E-26 ALC'!A118:I467,8,FALSE)</f>
        <v>1365</v>
      </c>
      <c r="C129" s="2" t="s">
        <v>336</v>
      </c>
      <c r="D129" s="2" t="s">
        <v>343</v>
      </c>
      <c r="E129" s="2" t="s">
        <v>126</v>
      </c>
      <c r="F129" s="2" t="s">
        <v>15</v>
      </c>
      <c r="G129" s="2">
        <v>0</v>
      </c>
      <c r="H129" s="2"/>
      <c r="I129" s="2"/>
      <c r="J129" s="16"/>
      <c r="K129" s="16"/>
      <c r="L129" s="16"/>
      <c r="M129" s="16"/>
    </row>
    <row r="130" spans="1:13" ht="14.45" customHeight="1" x14ac:dyDescent="0.25">
      <c r="A130" s="8" t="s">
        <v>379</v>
      </c>
      <c r="B130" s="2">
        <f>VLOOKUP(A130,'Candidatos E-26 ALC'!A132:I481,8,FALSE)</f>
        <v>24279</v>
      </c>
      <c r="C130" s="8" t="s">
        <v>372</v>
      </c>
      <c r="D130" s="8" t="s">
        <v>380</v>
      </c>
      <c r="E130" s="8" t="s">
        <v>381</v>
      </c>
      <c r="F130" s="8" t="s">
        <v>25</v>
      </c>
      <c r="G130" s="8">
        <v>1</v>
      </c>
      <c r="H130" s="8"/>
      <c r="I130" s="8"/>
      <c r="J130" s="23" t="s">
        <v>1237</v>
      </c>
      <c r="K130" s="23" t="s">
        <v>1239</v>
      </c>
      <c r="L130" s="23" t="s">
        <v>1238</v>
      </c>
      <c r="M130" s="23" t="s">
        <v>1240</v>
      </c>
    </row>
    <row r="131" spans="1:13" ht="14.45" customHeight="1" x14ac:dyDescent="0.25">
      <c r="A131" s="2" t="s">
        <v>385</v>
      </c>
      <c r="B131" s="2">
        <f>VLOOKUP(A131,'Candidatos E-26 ALC'!A134:I483,8,FALSE)</f>
        <v>23129</v>
      </c>
      <c r="C131" s="2" t="s">
        <v>372</v>
      </c>
      <c r="D131" s="2" t="s">
        <v>386</v>
      </c>
      <c r="E131" s="2" t="s">
        <v>157</v>
      </c>
      <c r="F131" s="2" t="s">
        <v>15</v>
      </c>
      <c r="G131" s="2">
        <v>0</v>
      </c>
      <c r="H131" s="2"/>
      <c r="I131" s="2"/>
      <c r="J131" s="21" t="s">
        <v>1253</v>
      </c>
      <c r="K131" s="21" t="s">
        <v>1256</v>
      </c>
      <c r="L131" s="21" t="s">
        <v>1255</v>
      </c>
      <c r="M131" s="21" t="s">
        <v>1257</v>
      </c>
    </row>
    <row r="132" spans="1:13" ht="14.45" customHeight="1" x14ac:dyDescent="0.25">
      <c r="A132" s="5" t="s">
        <v>382</v>
      </c>
      <c r="B132" s="2">
        <f>VLOOKUP(A132,'Candidatos E-26 ALC'!A133:I482,8,FALSE)</f>
        <v>20402</v>
      </c>
      <c r="C132" s="5" t="s">
        <v>372</v>
      </c>
      <c r="D132" s="5" t="s">
        <v>383</v>
      </c>
      <c r="E132" s="5" t="s">
        <v>384</v>
      </c>
      <c r="F132" s="5" t="s">
        <v>15</v>
      </c>
      <c r="G132" s="5">
        <v>0</v>
      </c>
      <c r="H132" s="5"/>
      <c r="I132" s="5"/>
      <c r="J132" s="22" t="s">
        <v>1277</v>
      </c>
      <c r="K132" s="22" t="s">
        <v>1278</v>
      </c>
      <c r="L132" s="22" t="s">
        <v>1279</v>
      </c>
      <c r="M132" s="22" t="s">
        <v>1280</v>
      </c>
    </row>
    <row r="133" spans="1:13" ht="14.45" customHeight="1" x14ac:dyDescent="0.25">
      <c r="A133" s="2" t="s">
        <v>371</v>
      </c>
      <c r="B133" s="2">
        <f>VLOOKUP(A133,'Candidatos E-26 ALC'!A130:I479,8,FALSE)</f>
        <v>7585</v>
      </c>
      <c r="C133" s="2" t="s">
        <v>372</v>
      </c>
      <c r="D133" s="2" t="s">
        <v>375</v>
      </c>
      <c r="E133" s="2" t="s">
        <v>376</v>
      </c>
      <c r="F133" s="2" t="s">
        <v>15</v>
      </c>
      <c r="G133" s="2">
        <v>0</v>
      </c>
      <c r="H133" s="2"/>
      <c r="I133" s="2"/>
      <c r="J133" s="16"/>
      <c r="K133" s="16"/>
      <c r="L133" s="16"/>
      <c r="M133" s="16"/>
    </row>
    <row r="134" spans="1:13" ht="14.45" customHeight="1" x14ac:dyDescent="0.25">
      <c r="A134" s="5" t="s">
        <v>377</v>
      </c>
      <c r="B134" s="2">
        <f>VLOOKUP(A134,'Candidatos E-26 ALC'!A131:I480,8,FALSE)</f>
        <v>824</v>
      </c>
      <c r="C134" s="5" t="s">
        <v>372</v>
      </c>
      <c r="D134" s="5" t="s">
        <v>378</v>
      </c>
      <c r="E134" s="5" t="s">
        <v>14</v>
      </c>
      <c r="F134" s="5" t="s">
        <v>15</v>
      </c>
      <c r="G134" s="5">
        <v>0</v>
      </c>
      <c r="H134" s="5"/>
      <c r="I134" s="5"/>
      <c r="J134" s="17"/>
      <c r="K134" s="17"/>
      <c r="L134" s="17"/>
      <c r="M134" s="17"/>
    </row>
    <row r="135" spans="1:13" ht="14.45" customHeight="1" x14ac:dyDescent="0.25">
      <c r="A135" s="8" t="s">
        <v>387</v>
      </c>
      <c r="B135" s="2">
        <f>VLOOKUP(A135,'Candidatos E-26 ALC'!A135:I484,8,FALSE)</f>
        <v>46865</v>
      </c>
      <c r="C135" s="8" t="s">
        <v>388</v>
      </c>
      <c r="D135" s="8" t="s">
        <v>390</v>
      </c>
      <c r="E135" s="8" t="s">
        <v>391</v>
      </c>
      <c r="F135" s="8" t="s">
        <v>25</v>
      </c>
      <c r="G135" s="8">
        <v>1</v>
      </c>
      <c r="H135" s="8"/>
      <c r="I135" s="8"/>
      <c r="J135" s="23" t="s">
        <v>1115</v>
      </c>
      <c r="K135" s="23" t="s">
        <v>1113</v>
      </c>
      <c r="L135" s="23" t="s">
        <v>1112</v>
      </c>
      <c r="M135" s="23" t="s">
        <v>1114</v>
      </c>
    </row>
    <row r="136" spans="1:13" ht="14.45" customHeight="1" x14ac:dyDescent="0.25">
      <c r="A136" s="2" t="s">
        <v>392</v>
      </c>
      <c r="B136" s="2">
        <f>VLOOKUP(A136,'Candidatos E-26 ALC'!A136:I485,8,FALSE)</f>
        <v>27702</v>
      </c>
      <c r="C136" s="2" t="s">
        <v>388</v>
      </c>
      <c r="D136" s="2" t="s">
        <v>393</v>
      </c>
      <c r="E136" s="2" t="s">
        <v>66</v>
      </c>
      <c r="F136" s="2" t="s">
        <v>15</v>
      </c>
      <c r="G136" s="2">
        <v>0</v>
      </c>
      <c r="H136" s="2"/>
      <c r="I136" s="2"/>
      <c r="J136" s="21" t="s">
        <v>1214</v>
      </c>
      <c r="K136" s="16"/>
      <c r="L136" s="16"/>
      <c r="M136" s="21" t="s">
        <v>1215</v>
      </c>
    </row>
    <row r="137" spans="1:13" ht="14.45" customHeight="1" x14ac:dyDescent="0.25">
      <c r="A137" s="5" t="s">
        <v>394</v>
      </c>
      <c r="B137" s="2">
        <f>VLOOKUP(A137,'Candidatos E-26 ALC'!A137:I486,8,FALSE)</f>
        <v>15288</v>
      </c>
      <c r="C137" s="5" t="s">
        <v>388</v>
      </c>
      <c r="D137" s="5" t="s">
        <v>395</v>
      </c>
      <c r="E137" s="5" t="s">
        <v>71</v>
      </c>
      <c r="F137" s="5" t="s">
        <v>15</v>
      </c>
      <c r="G137" s="5">
        <v>0</v>
      </c>
      <c r="H137" s="5"/>
      <c r="I137" s="5"/>
      <c r="J137" s="22" t="s">
        <v>1324</v>
      </c>
      <c r="K137" s="17"/>
      <c r="L137" s="17"/>
      <c r="M137" s="22" t="s">
        <v>1325</v>
      </c>
    </row>
    <row r="138" spans="1:13" ht="14.45" customHeight="1" x14ac:dyDescent="0.25">
      <c r="A138" s="2" t="s">
        <v>396</v>
      </c>
      <c r="B138" s="2">
        <f>VLOOKUP(A138,'Candidatos E-26 ALC'!A138:I487,8,FALSE)</f>
        <v>11943</v>
      </c>
      <c r="C138" s="2" t="s">
        <v>388</v>
      </c>
      <c r="D138" s="2" t="s">
        <v>397</v>
      </c>
      <c r="E138" s="2" t="s">
        <v>398</v>
      </c>
      <c r="F138" s="2" t="s">
        <v>15</v>
      </c>
      <c r="G138" s="2">
        <v>0</v>
      </c>
      <c r="H138" s="2"/>
      <c r="I138" s="2"/>
      <c r="J138" s="16"/>
      <c r="K138" s="16"/>
      <c r="L138" s="16"/>
      <c r="M138" s="16"/>
    </row>
    <row r="139" spans="1:13" ht="14.45" customHeight="1" x14ac:dyDescent="0.25">
      <c r="A139" s="8" t="s">
        <v>408</v>
      </c>
      <c r="B139" s="2">
        <f>VLOOKUP(A139,'Candidatos E-26 ALC'!A142:I491,8,FALSE)</f>
        <v>54352</v>
      </c>
      <c r="C139" s="8" t="s">
        <v>400</v>
      </c>
      <c r="D139" s="8" t="s">
        <v>409</v>
      </c>
      <c r="E139" s="8" t="s">
        <v>410</v>
      </c>
      <c r="F139" s="8" t="s">
        <v>25</v>
      </c>
      <c r="G139" s="8">
        <v>1</v>
      </c>
      <c r="H139" s="8"/>
      <c r="I139" s="8"/>
      <c r="J139" s="23" t="s">
        <v>1094</v>
      </c>
      <c r="K139" s="23" t="s">
        <v>1097</v>
      </c>
      <c r="L139" s="23" t="s">
        <v>1096</v>
      </c>
      <c r="M139" s="23" t="s">
        <v>1095</v>
      </c>
    </row>
    <row r="140" spans="1:13" ht="14.45" customHeight="1" x14ac:dyDescent="0.25">
      <c r="A140" s="2" t="s">
        <v>422</v>
      </c>
      <c r="B140" s="2">
        <f>VLOOKUP(A140,'Candidatos E-26 ALC'!A148:I497,8,FALSE)</f>
        <v>31777</v>
      </c>
      <c r="C140" s="2" t="s">
        <v>400</v>
      </c>
      <c r="D140" s="2" t="s">
        <v>423</v>
      </c>
      <c r="E140" s="2" t="s">
        <v>424</v>
      </c>
      <c r="F140" s="2" t="s">
        <v>15</v>
      </c>
      <c r="G140" s="2">
        <v>0</v>
      </c>
      <c r="H140" s="2"/>
      <c r="I140" s="2"/>
      <c r="J140" s="21" t="s">
        <v>1185</v>
      </c>
      <c r="K140" s="21" t="s">
        <v>1186</v>
      </c>
      <c r="L140" s="21" t="s">
        <v>1187</v>
      </c>
      <c r="M140" s="21" t="s">
        <v>1188</v>
      </c>
    </row>
    <row r="141" spans="1:13" ht="14.45" customHeight="1" x14ac:dyDescent="0.25">
      <c r="A141" s="5" t="s">
        <v>415</v>
      </c>
      <c r="B141" s="2">
        <f>VLOOKUP(A141,'Candidatos E-26 ALC'!A145:I494,8,FALSE)</f>
        <v>13127</v>
      </c>
      <c r="C141" s="5" t="s">
        <v>400</v>
      </c>
      <c r="D141" s="5" t="s">
        <v>416</v>
      </c>
      <c r="E141" s="5" t="s">
        <v>417</v>
      </c>
      <c r="F141" s="5" t="s">
        <v>15</v>
      </c>
      <c r="G141" s="5">
        <v>0</v>
      </c>
      <c r="H141" s="5"/>
      <c r="I141" s="5"/>
      <c r="J141" s="22" t="s">
        <v>1352</v>
      </c>
      <c r="K141" s="22" t="s">
        <v>1354</v>
      </c>
      <c r="L141" s="22" t="s">
        <v>1355</v>
      </c>
      <c r="M141" s="22" t="s">
        <v>1356</v>
      </c>
    </row>
    <row r="142" spans="1:13" ht="14.45" customHeight="1" x14ac:dyDescent="0.25">
      <c r="A142" s="5" t="s">
        <v>420</v>
      </c>
      <c r="B142" s="2">
        <f>VLOOKUP(A142,'Candidatos E-26 ALC'!A147:I496,8,FALSE)</f>
        <v>6458</v>
      </c>
      <c r="C142" s="5" t="s">
        <v>400</v>
      </c>
      <c r="D142" s="5" t="s">
        <v>421</v>
      </c>
      <c r="E142" s="5" t="s">
        <v>112</v>
      </c>
      <c r="F142" s="5" t="s">
        <v>15</v>
      </c>
      <c r="G142" s="5">
        <v>0</v>
      </c>
      <c r="H142" s="5"/>
      <c r="I142" s="5"/>
      <c r="J142" s="17"/>
      <c r="K142" s="17"/>
      <c r="L142" s="17"/>
      <c r="M142" s="17"/>
    </row>
    <row r="143" spans="1:13" ht="14.45" customHeight="1" x14ac:dyDescent="0.25">
      <c r="A143" s="2" t="s">
        <v>403</v>
      </c>
      <c r="B143" s="2">
        <f>VLOOKUP(A143,'Candidatos E-26 ALC'!A140:I489,8,FALSE)</f>
        <v>6165</v>
      </c>
      <c r="C143" s="2" t="s">
        <v>400</v>
      </c>
      <c r="D143" s="2" t="s">
        <v>404</v>
      </c>
      <c r="E143" s="2" t="s">
        <v>405</v>
      </c>
      <c r="F143" s="2" t="s">
        <v>15</v>
      </c>
      <c r="G143" s="2">
        <v>0</v>
      </c>
      <c r="H143" s="2"/>
      <c r="I143" s="2"/>
      <c r="J143" s="16"/>
      <c r="K143" s="16"/>
      <c r="L143" s="16"/>
      <c r="M143" s="16"/>
    </row>
    <row r="144" spans="1:13" ht="14.45" customHeight="1" x14ac:dyDescent="0.25">
      <c r="A144" s="2" t="s">
        <v>418</v>
      </c>
      <c r="B144" s="2">
        <f>VLOOKUP(A144,'Candidatos E-26 ALC'!A146:I495,8,FALSE)</f>
        <v>4321</v>
      </c>
      <c r="C144" s="2" t="s">
        <v>400</v>
      </c>
      <c r="D144" s="2" t="s">
        <v>419</v>
      </c>
      <c r="E144" s="2" t="s">
        <v>66</v>
      </c>
      <c r="F144" s="2" t="s">
        <v>15</v>
      </c>
      <c r="G144" s="2">
        <v>0</v>
      </c>
      <c r="H144" s="2"/>
      <c r="I144" s="2"/>
      <c r="J144" s="16"/>
      <c r="K144" s="16"/>
      <c r="L144" s="16"/>
      <c r="M144" s="16"/>
    </row>
    <row r="145" spans="1:13" ht="14.45" customHeight="1" x14ac:dyDescent="0.25">
      <c r="A145" s="2" t="s">
        <v>413</v>
      </c>
      <c r="B145" s="2">
        <f>VLOOKUP(A145,'Candidatos E-26 ALC'!A144:I493,8,FALSE)</f>
        <v>3322</v>
      </c>
      <c r="C145" s="2" t="s">
        <v>400</v>
      </c>
      <c r="D145" s="2" t="s">
        <v>414</v>
      </c>
      <c r="E145" s="2" t="s">
        <v>144</v>
      </c>
      <c r="F145" s="2" t="s">
        <v>15</v>
      </c>
      <c r="G145" s="2">
        <v>0</v>
      </c>
      <c r="H145" s="2"/>
      <c r="I145" s="2"/>
      <c r="J145" s="16"/>
      <c r="K145" s="16"/>
      <c r="L145" s="16"/>
      <c r="M145" s="16"/>
    </row>
    <row r="146" spans="1:13" ht="14.45" customHeight="1" x14ac:dyDescent="0.25">
      <c r="A146" s="5" t="s">
        <v>411</v>
      </c>
      <c r="B146" s="2">
        <f>VLOOKUP(A146,'Candidatos E-26 ALC'!A143:I492,8,FALSE)</f>
        <v>5</v>
      </c>
      <c r="C146" s="5" t="s">
        <v>400</v>
      </c>
      <c r="D146" s="5" t="s">
        <v>412</v>
      </c>
      <c r="E146" s="5" t="s">
        <v>63</v>
      </c>
      <c r="F146" s="5" t="s">
        <v>15</v>
      </c>
      <c r="G146" s="5">
        <v>0</v>
      </c>
      <c r="H146" s="5"/>
      <c r="I146" s="5"/>
      <c r="J146" s="17"/>
      <c r="K146" s="17"/>
      <c r="L146" s="17"/>
      <c r="M146" s="17"/>
    </row>
    <row r="147" spans="1:13" ht="14.45" customHeight="1" x14ac:dyDescent="0.25">
      <c r="A147" s="5" t="s">
        <v>399</v>
      </c>
      <c r="B147" s="2">
        <f>VLOOKUP(A147,'Candidatos E-26 ALC'!A139:I488,8,FALSE)</f>
        <v>3</v>
      </c>
      <c r="C147" s="5" t="s">
        <v>400</v>
      </c>
      <c r="D147" s="5" t="s">
        <v>402</v>
      </c>
      <c r="E147" s="5" t="s">
        <v>249</v>
      </c>
      <c r="F147" s="5" t="s">
        <v>15</v>
      </c>
      <c r="G147" s="5">
        <v>0</v>
      </c>
      <c r="H147" s="5"/>
      <c r="I147" s="5"/>
      <c r="J147" s="17"/>
      <c r="K147" s="17"/>
      <c r="L147" s="17"/>
      <c r="M147" s="17"/>
    </row>
    <row r="148" spans="1:13" ht="14.45" customHeight="1" x14ac:dyDescent="0.25">
      <c r="A148" s="5" t="s">
        <v>406</v>
      </c>
      <c r="B148" s="2">
        <f>VLOOKUP(A148,'Candidatos E-26 ALC'!A141:I490,8,FALSE)</f>
        <v>3</v>
      </c>
      <c r="C148" s="5" t="s">
        <v>400</v>
      </c>
      <c r="D148" s="5" t="s">
        <v>407</v>
      </c>
      <c r="E148" s="5" t="s">
        <v>71</v>
      </c>
      <c r="F148" s="5" t="s">
        <v>15</v>
      </c>
      <c r="G148" s="5">
        <v>0</v>
      </c>
      <c r="H148" s="5"/>
      <c r="I148" s="5"/>
      <c r="J148" s="17"/>
      <c r="K148" s="17"/>
      <c r="L148" s="17"/>
      <c r="M148" s="17"/>
    </row>
    <row r="149" spans="1:13" ht="14.45" customHeight="1" x14ac:dyDescent="0.25">
      <c r="A149" s="5" t="s">
        <v>443</v>
      </c>
      <c r="B149" s="2">
        <f>VLOOKUP(A149,'Candidatos E-26 ALC'!A155:I504,8,FALSE)</f>
        <v>74941</v>
      </c>
      <c r="C149" s="5" t="s">
        <v>426</v>
      </c>
      <c r="D149" s="5" t="s">
        <v>444</v>
      </c>
      <c r="E149" s="5" t="s">
        <v>445</v>
      </c>
      <c r="F149" s="5" t="s">
        <v>25</v>
      </c>
      <c r="G149" s="5">
        <v>1</v>
      </c>
      <c r="H149" s="5"/>
      <c r="I149" s="5"/>
      <c r="J149" s="23" t="s">
        <v>1034</v>
      </c>
      <c r="K149" s="23" t="s">
        <v>1035</v>
      </c>
      <c r="L149" s="23" t="s">
        <v>1036</v>
      </c>
      <c r="M149" s="23" t="s">
        <v>1033</v>
      </c>
    </row>
    <row r="150" spans="1:13" ht="14.45" customHeight="1" x14ac:dyDescent="0.25">
      <c r="A150" s="5" t="s">
        <v>425</v>
      </c>
      <c r="B150" s="2">
        <f>VLOOKUP(A150,'Candidatos E-26 ALC'!A149:I498,8,FALSE)</f>
        <v>70364</v>
      </c>
      <c r="C150" s="5" t="s">
        <v>426</v>
      </c>
      <c r="D150" s="5" t="s">
        <v>429</v>
      </c>
      <c r="E150" s="5" t="s">
        <v>28</v>
      </c>
      <c r="F150" s="5" t="s">
        <v>15</v>
      </c>
      <c r="G150" s="5">
        <v>0</v>
      </c>
      <c r="H150" s="5"/>
      <c r="I150" s="5"/>
      <c r="J150" s="23" t="s">
        <v>1052</v>
      </c>
      <c r="K150" s="23" t="s">
        <v>1106</v>
      </c>
      <c r="L150" s="23" t="s">
        <v>1107</v>
      </c>
      <c r="M150" s="23" t="s">
        <v>1053</v>
      </c>
    </row>
    <row r="151" spans="1:13" ht="14.45" customHeight="1" x14ac:dyDescent="0.25">
      <c r="A151" s="2" t="s">
        <v>441</v>
      </c>
      <c r="B151" s="2">
        <f>VLOOKUP(A151,'Candidatos E-26 ALC'!A154:I503,8,FALSE)</f>
        <v>19912</v>
      </c>
      <c r="C151" s="2" t="s">
        <v>426</v>
      </c>
      <c r="D151" s="2" t="s">
        <v>442</v>
      </c>
      <c r="E151" s="2" t="s">
        <v>43</v>
      </c>
      <c r="F151" s="2" t="s">
        <v>15</v>
      </c>
      <c r="G151" s="2">
        <v>0</v>
      </c>
      <c r="H151" s="2"/>
      <c r="I151" s="2"/>
      <c r="J151" s="21" t="s">
        <v>1281</v>
      </c>
      <c r="K151" s="21" t="s">
        <v>1282</v>
      </c>
      <c r="L151" s="21" t="s">
        <v>1283</v>
      </c>
      <c r="M151" s="21" t="s">
        <v>1284</v>
      </c>
    </row>
    <row r="152" spans="1:13" ht="14.45" customHeight="1" x14ac:dyDescent="0.25">
      <c r="A152" s="5" t="s">
        <v>433</v>
      </c>
      <c r="B152" s="2">
        <f>VLOOKUP(A152,'Candidatos E-26 ALC'!A151:I500,8,FALSE)</f>
        <v>17461</v>
      </c>
      <c r="C152" s="5" t="s">
        <v>426</v>
      </c>
      <c r="D152" s="5" t="s">
        <v>434</v>
      </c>
      <c r="E152" s="5" t="s">
        <v>144</v>
      </c>
      <c r="F152" s="5" t="s">
        <v>15</v>
      </c>
      <c r="G152" s="5">
        <v>0</v>
      </c>
      <c r="H152" s="5"/>
      <c r="I152" s="5"/>
      <c r="J152" s="22" t="s">
        <v>1300</v>
      </c>
      <c r="K152" s="22" t="s">
        <v>1299</v>
      </c>
      <c r="L152" s="22" t="s">
        <v>1301</v>
      </c>
      <c r="M152" s="22" t="s">
        <v>1298</v>
      </c>
    </row>
    <row r="153" spans="1:13" ht="14.45" customHeight="1" x14ac:dyDescent="0.25">
      <c r="A153" s="5" t="s">
        <v>448</v>
      </c>
      <c r="B153" s="2">
        <f>VLOOKUP(A153,'Candidatos E-26 ALC'!A157:I506,8,FALSE)</f>
        <v>15314</v>
      </c>
      <c r="C153" s="5" t="s">
        <v>426</v>
      </c>
      <c r="D153" s="5" t="s">
        <v>449</v>
      </c>
      <c r="E153" s="5" t="s">
        <v>450</v>
      </c>
      <c r="F153" s="5" t="s">
        <v>15</v>
      </c>
      <c r="G153" s="5">
        <v>0</v>
      </c>
      <c r="H153" s="5"/>
      <c r="I153" s="5"/>
      <c r="J153" s="22" t="s">
        <v>1319</v>
      </c>
      <c r="K153" s="22" t="s">
        <v>1321</v>
      </c>
      <c r="L153" s="22" t="s">
        <v>1322</v>
      </c>
      <c r="M153" s="22" t="s">
        <v>1323</v>
      </c>
    </row>
    <row r="154" spans="1:13" ht="14.45" customHeight="1" x14ac:dyDescent="0.25">
      <c r="A154" s="5" t="s">
        <v>438</v>
      </c>
      <c r="B154" s="2">
        <f>VLOOKUP(A154,'Candidatos E-26 ALC'!A153:I502,8,FALSE)</f>
        <v>11051</v>
      </c>
      <c r="C154" s="5" t="s">
        <v>426</v>
      </c>
      <c r="D154" s="5" t="s">
        <v>439</v>
      </c>
      <c r="E154" s="5" t="s">
        <v>440</v>
      </c>
      <c r="F154" s="5" t="s">
        <v>15</v>
      </c>
      <c r="G154" s="5">
        <v>0</v>
      </c>
      <c r="H154" s="5"/>
      <c r="I154" s="5"/>
      <c r="J154" s="22" t="s">
        <v>1392</v>
      </c>
      <c r="K154" s="22" t="s">
        <v>1393</v>
      </c>
      <c r="L154" s="22" t="s">
        <v>1394</v>
      </c>
      <c r="M154" s="22" t="s">
        <v>1395</v>
      </c>
    </row>
    <row r="155" spans="1:13" ht="14.45" customHeight="1" x14ac:dyDescent="0.25">
      <c r="A155" s="2" t="s">
        <v>446</v>
      </c>
      <c r="B155" s="2">
        <f>VLOOKUP(A155,'Candidatos E-26 ALC'!A156:I505,8,FALSE)</f>
        <v>7299</v>
      </c>
      <c r="C155" s="2" t="s">
        <v>426</v>
      </c>
      <c r="D155" s="2" t="s">
        <v>447</v>
      </c>
      <c r="E155" s="2" t="s">
        <v>14</v>
      </c>
      <c r="F155" s="2" t="s">
        <v>15</v>
      </c>
      <c r="G155" s="2">
        <v>0</v>
      </c>
      <c r="H155" s="2"/>
      <c r="I155" s="2"/>
      <c r="J155" s="16"/>
      <c r="K155" s="16"/>
      <c r="L155" s="16"/>
      <c r="M155" s="16"/>
    </row>
    <row r="156" spans="1:13" ht="14.45" customHeight="1" x14ac:dyDescent="0.25">
      <c r="A156" s="2" t="s">
        <v>430</v>
      </c>
      <c r="B156" s="2">
        <f>VLOOKUP(A156,'Candidatos E-26 ALC'!A150:I499,8,FALSE)</f>
        <v>5936</v>
      </c>
      <c r="C156" s="2" t="s">
        <v>426</v>
      </c>
      <c r="D156" s="2" t="s">
        <v>431</v>
      </c>
      <c r="E156" s="2" t="s">
        <v>432</v>
      </c>
      <c r="F156" s="2" t="s">
        <v>15</v>
      </c>
      <c r="G156" s="2">
        <v>0</v>
      </c>
      <c r="H156" s="2"/>
      <c r="I156" s="2"/>
      <c r="J156" s="16"/>
      <c r="K156" s="16"/>
      <c r="L156" s="16"/>
      <c r="M156" s="16"/>
    </row>
    <row r="157" spans="1:13" ht="14.45" customHeight="1" x14ac:dyDescent="0.25">
      <c r="A157" s="2" t="s">
        <v>435</v>
      </c>
      <c r="B157" s="2">
        <f>VLOOKUP(A157,'Candidatos E-26 ALC'!A152:I501,8,FALSE)</f>
        <v>1458</v>
      </c>
      <c r="C157" s="2" t="s">
        <v>426</v>
      </c>
      <c r="D157" s="2" t="s">
        <v>436</v>
      </c>
      <c r="E157" s="2" t="s">
        <v>437</v>
      </c>
      <c r="F157" s="2" t="s">
        <v>15</v>
      </c>
      <c r="G157" s="2">
        <v>0</v>
      </c>
      <c r="H157" s="2"/>
      <c r="I157" s="2"/>
      <c r="J157" s="16"/>
      <c r="K157" s="16"/>
      <c r="L157" s="16"/>
      <c r="M157" s="16"/>
    </row>
    <row r="158" spans="1:13" ht="14.45" customHeight="1" x14ac:dyDescent="0.25">
      <c r="A158" s="8" t="s">
        <v>458</v>
      </c>
      <c r="B158" s="2">
        <f>VLOOKUP(A158,'Candidatos E-26 ALC'!A160:I509,8,FALSE)</f>
        <v>45874</v>
      </c>
      <c r="C158" s="8" t="s">
        <v>452</v>
      </c>
      <c r="D158" s="8" t="s">
        <v>459</v>
      </c>
      <c r="E158" s="8" t="s">
        <v>460</v>
      </c>
      <c r="F158" s="8" t="s">
        <v>25</v>
      </c>
      <c r="G158" s="8">
        <v>1</v>
      </c>
      <c r="H158" s="8"/>
      <c r="I158" s="8"/>
      <c r="J158" s="23" t="s">
        <v>1116</v>
      </c>
      <c r="K158" s="23" t="s">
        <v>1117</v>
      </c>
      <c r="L158" s="23" t="s">
        <v>1118</v>
      </c>
      <c r="M158" s="23" t="s">
        <v>1119</v>
      </c>
    </row>
    <row r="159" spans="1:13" ht="14.45" customHeight="1" x14ac:dyDescent="0.25">
      <c r="A159" s="2" t="s">
        <v>464</v>
      </c>
      <c r="B159" s="2">
        <f>VLOOKUP(A159,'Candidatos E-26 ALC'!A162:I511,8,FALSE)</f>
        <v>33894</v>
      </c>
      <c r="C159" s="2" t="s">
        <v>452</v>
      </c>
      <c r="D159" s="2" t="s">
        <v>465</v>
      </c>
      <c r="E159" s="2" t="s">
        <v>432</v>
      </c>
      <c r="F159" s="2" t="s">
        <v>15</v>
      </c>
      <c r="G159" s="2">
        <v>0</v>
      </c>
      <c r="H159" s="2"/>
      <c r="I159" s="2"/>
      <c r="J159" s="21" t="s">
        <v>1177</v>
      </c>
      <c r="K159" s="21" t="s">
        <v>1178</v>
      </c>
      <c r="L159" s="21" t="s">
        <v>1179</v>
      </c>
      <c r="M159" s="21" t="s">
        <v>1180</v>
      </c>
    </row>
    <row r="160" spans="1:13" ht="14.45" customHeight="1" x14ac:dyDescent="0.25">
      <c r="A160" s="5" t="s">
        <v>455</v>
      </c>
      <c r="B160" s="2">
        <f>VLOOKUP(A160,'Candidatos E-26 ALC'!A159:I508,8,FALSE)</f>
        <v>32304</v>
      </c>
      <c r="C160" s="5" t="s">
        <v>452</v>
      </c>
      <c r="D160" s="5" t="s">
        <v>456</v>
      </c>
      <c r="E160" s="5" t="s">
        <v>457</v>
      </c>
      <c r="F160" s="5" t="s">
        <v>15</v>
      </c>
      <c r="G160" s="5">
        <v>0</v>
      </c>
      <c r="H160" s="5"/>
      <c r="I160" s="5"/>
      <c r="J160" s="22" t="s">
        <v>1181</v>
      </c>
      <c r="K160" s="22" t="s">
        <v>1182</v>
      </c>
      <c r="L160" s="22" t="s">
        <v>1183</v>
      </c>
      <c r="M160" s="22" t="s">
        <v>1184</v>
      </c>
    </row>
    <row r="161" spans="1:13" ht="14.45" customHeight="1" x14ac:dyDescent="0.25">
      <c r="A161" s="5" t="s">
        <v>461</v>
      </c>
      <c r="B161" s="2">
        <f>VLOOKUP(A161,'Candidatos E-26 ALC'!A161:I510,8,FALSE)</f>
        <v>4758</v>
      </c>
      <c r="C161" s="5" t="s">
        <v>452</v>
      </c>
      <c r="D161" s="5" t="s">
        <v>462</v>
      </c>
      <c r="E161" s="5" t="s">
        <v>463</v>
      </c>
      <c r="F161" s="5" t="s">
        <v>15</v>
      </c>
      <c r="G161" s="5">
        <v>0</v>
      </c>
      <c r="H161" s="5"/>
      <c r="I161" s="5"/>
      <c r="J161" s="17"/>
      <c r="K161" s="17"/>
      <c r="L161" s="17"/>
      <c r="M161" s="17"/>
    </row>
    <row r="162" spans="1:13" ht="14.45" customHeight="1" x14ac:dyDescent="0.25">
      <c r="A162" s="2" t="s">
        <v>468</v>
      </c>
      <c r="B162" s="2">
        <f>VLOOKUP(A162,'Candidatos E-26 ALC'!A164:I513,8,FALSE)</f>
        <v>3030</v>
      </c>
      <c r="C162" s="2" t="s">
        <v>452</v>
      </c>
      <c r="D162" s="2" t="s">
        <v>469</v>
      </c>
      <c r="E162" s="2" t="s">
        <v>80</v>
      </c>
      <c r="F162" s="2" t="s">
        <v>15</v>
      </c>
      <c r="G162" s="2">
        <v>0</v>
      </c>
      <c r="H162" s="2"/>
      <c r="I162" s="2"/>
      <c r="J162" s="16"/>
      <c r="K162" s="16"/>
      <c r="L162" s="16"/>
      <c r="M162" s="16"/>
    </row>
    <row r="163" spans="1:13" ht="14.45" customHeight="1" x14ac:dyDescent="0.25">
      <c r="A163" s="5" t="s">
        <v>470</v>
      </c>
      <c r="B163" s="2">
        <f>VLOOKUP(A163,'Candidatos E-26 ALC'!A165:I514,8,FALSE)</f>
        <v>1669</v>
      </c>
      <c r="C163" s="5" t="s">
        <v>452</v>
      </c>
      <c r="D163" s="5" t="s">
        <v>471</v>
      </c>
      <c r="E163" s="5" t="s">
        <v>154</v>
      </c>
      <c r="F163" s="5" t="s">
        <v>15</v>
      </c>
      <c r="G163" s="5">
        <v>0</v>
      </c>
      <c r="H163" s="5"/>
      <c r="I163" s="5"/>
      <c r="J163" s="17"/>
      <c r="K163" s="17"/>
      <c r="L163" s="17"/>
      <c r="M163" s="17"/>
    </row>
    <row r="164" spans="1:13" ht="14.45" customHeight="1" x14ac:dyDescent="0.25">
      <c r="A164" s="2" t="s">
        <v>451</v>
      </c>
      <c r="B164" s="2">
        <f>VLOOKUP(A164,'Candidatos E-26 ALC'!A158:I507,8,FALSE)</f>
        <v>953</v>
      </c>
      <c r="C164" s="2" t="s">
        <v>452</v>
      </c>
      <c r="D164" s="2" t="s">
        <v>454</v>
      </c>
      <c r="E164" s="2" t="s">
        <v>144</v>
      </c>
      <c r="F164" s="2" t="s">
        <v>15</v>
      </c>
      <c r="G164" s="2">
        <v>0</v>
      </c>
      <c r="H164" s="2"/>
      <c r="I164" s="2"/>
      <c r="J164" s="16"/>
      <c r="K164" s="16"/>
      <c r="L164" s="16"/>
      <c r="M164" s="16"/>
    </row>
    <row r="165" spans="1:13" ht="14.45" customHeight="1" x14ac:dyDescent="0.25">
      <c r="A165" s="5" t="s">
        <v>466</v>
      </c>
      <c r="B165" s="2">
        <f>VLOOKUP(A165,'Candidatos E-26 ALC'!A163:I512,8,FALSE)</f>
        <v>412</v>
      </c>
      <c r="C165" s="5" t="s">
        <v>452</v>
      </c>
      <c r="D165" s="5" t="s">
        <v>467</v>
      </c>
      <c r="E165" s="5" t="s">
        <v>31</v>
      </c>
      <c r="F165" s="5" t="s">
        <v>15</v>
      </c>
      <c r="G165" s="5">
        <v>0</v>
      </c>
      <c r="H165" s="5"/>
      <c r="I165" s="5"/>
      <c r="J165" s="17"/>
      <c r="K165" s="17"/>
      <c r="L165" s="17"/>
      <c r="M165" s="17"/>
    </row>
    <row r="166" spans="1:13" ht="14.45" customHeight="1" x14ac:dyDescent="0.25">
      <c r="A166" s="8" t="s">
        <v>472</v>
      </c>
      <c r="B166" s="2">
        <f>VLOOKUP(A166,'Candidatos E-26 ALC'!A166:I515,8,FALSE)</f>
        <v>118239</v>
      </c>
      <c r="C166" s="8" t="s">
        <v>473</v>
      </c>
      <c r="D166" s="8" t="s">
        <v>476</v>
      </c>
      <c r="E166" s="8" t="s">
        <v>477</v>
      </c>
      <c r="F166" s="8" t="s">
        <v>25</v>
      </c>
      <c r="G166" s="8">
        <v>1</v>
      </c>
      <c r="H166" s="8"/>
      <c r="I166" s="8"/>
      <c r="J166" s="23" t="s">
        <v>984</v>
      </c>
      <c r="K166" s="23" t="s">
        <v>985</v>
      </c>
      <c r="L166" s="23" t="s">
        <v>986</v>
      </c>
      <c r="M166" s="23" t="s">
        <v>987</v>
      </c>
    </row>
    <row r="167" spans="1:13" ht="14.45" customHeight="1" x14ac:dyDescent="0.25">
      <c r="A167" s="5" t="s">
        <v>495</v>
      </c>
      <c r="B167" s="2">
        <f>VLOOKUP(A167,'Candidatos E-26 ALC'!A175:I524,8,FALSE)</f>
        <v>22577</v>
      </c>
      <c r="C167" s="5" t="s">
        <v>473</v>
      </c>
      <c r="D167" s="5" t="s">
        <v>496</v>
      </c>
      <c r="E167" s="5" t="s">
        <v>497</v>
      </c>
      <c r="F167" s="5" t="s">
        <v>15</v>
      </c>
      <c r="G167" s="5">
        <v>0</v>
      </c>
      <c r="H167" s="5"/>
      <c r="I167" s="5"/>
      <c r="J167" s="22" t="s">
        <v>1262</v>
      </c>
      <c r="K167" s="22" t="s">
        <v>1263</v>
      </c>
      <c r="L167" s="22" t="s">
        <v>1264</v>
      </c>
      <c r="M167" s="22" t="s">
        <v>1265</v>
      </c>
    </row>
    <row r="168" spans="1:13" ht="14.45" customHeight="1" x14ac:dyDescent="0.25">
      <c r="A168" s="2" t="s">
        <v>484</v>
      </c>
      <c r="B168" s="2">
        <f>VLOOKUP(A168,'Candidatos E-26 ALC'!A170:I519,8,FALSE)</f>
        <v>8323</v>
      </c>
      <c r="C168" s="2" t="s">
        <v>473</v>
      </c>
      <c r="D168" s="2" t="s">
        <v>485</v>
      </c>
      <c r="E168" s="2" t="s">
        <v>99</v>
      </c>
      <c r="F168" s="2" t="s">
        <v>15</v>
      </c>
      <c r="G168" s="2">
        <v>0</v>
      </c>
      <c r="H168" s="2"/>
      <c r="I168" s="2"/>
      <c r="J168" s="16"/>
      <c r="K168" s="16"/>
      <c r="L168" s="16"/>
      <c r="M168" s="16"/>
    </row>
    <row r="169" spans="1:13" ht="14.45" customHeight="1" x14ac:dyDescent="0.25">
      <c r="A169" s="5" t="s">
        <v>478</v>
      </c>
      <c r="B169" s="2">
        <f>VLOOKUP(A169,'Candidatos E-26 ALC'!A167:I516,8,FALSE)</f>
        <v>5697</v>
      </c>
      <c r="C169" s="5" t="s">
        <v>473</v>
      </c>
      <c r="D169" s="5" t="s">
        <v>479</v>
      </c>
      <c r="E169" s="5" t="s">
        <v>14</v>
      </c>
      <c r="F169" s="5" t="s">
        <v>15</v>
      </c>
      <c r="G169" s="5">
        <v>0</v>
      </c>
      <c r="H169" s="5"/>
      <c r="I169" s="5"/>
      <c r="J169" s="17"/>
      <c r="K169" s="17"/>
      <c r="L169" s="17"/>
      <c r="M169" s="17"/>
    </row>
    <row r="170" spans="1:13" ht="14.45" customHeight="1" x14ac:dyDescent="0.25">
      <c r="A170" s="5" t="s">
        <v>486</v>
      </c>
      <c r="B170" s="2">
        <f>VLOOKUP(A170,'Candidatos E-26 ALC'!A171:I520,8,FALSE)</f>
        <v>3835</v>
      </c>
      <c r="C170" s="5" t="s">
        <v>473</v>
      </c>
      <c r="D170" s="5" t="s">
        <v>487</v>
      </c>
      <c r="E170" s="5" t="s">
        <v>37</v>
      </c>
      <c r="F170" s="5" t="s">
        <v>15</v>
      </c>
      <c r="G170" s="5">
        <v>0</v>
      </c>
      <c r="H170" s="5"/>
      <c r="I170" s="5"/>
      <c r="J170" s="17"/>
      <c r="K170" s="17"/>
      <c r="L170" s="17"/>
      <c r="M170" s="17"/>
    </row>
    <row r="171" spans="1:13" ht="14.45" customHeight="1" x14ac:dyDescent="0.25">
      <c r="A171" s="2" t="s">
        <v>493</v>
      </c>
      <c r="B171" s="2">
        <f>VLOOKUP(A171,'Candidatos E-26 ALC'!A174:I523,8,FALSE)</f>
        <v>3119</v>
      </c>
      <c r="C171" s="2" t="s">
        <v>473</v>
      </c>
      <c r="D171" s="2" t="s">
        <v>494</v>
      </c>
      <c r="E171" s="2" t="s">
        <v>249</v>
      </c>
      <c r="F171" s="2" t="s">
        <v>15</v>
      </c>
      <c r="G171" s="2">
        <v>0</v>
      </c>
      <c r="H171" s="2"/>
      <c r="I171" s="2"/>
      <c r="J171" s="16"/>
      <c r="K171" s="16"/>
      <c r="L171" s="16"/>
      <c r="M171" s="16"/>
    </row>
    <row r="172" spans="1:13" ht="14.45" customHeight="1" x14ac:dyDescent="0.25">
      <c r="A172" s="2" t="s">
        <v>488</v>
      </c>
      <c r="B172" s="2">
        <f>VLOOKUP(A172,'Candidatos E-26 ALC'!A172:I521,8,FALSE)</f>
        <v>2792</v>
      </c>
      <c r="C172" s="2" t="s">
        <v>473</v>
      </c>
      <c r="D172" s="2" t="s">
        <v>489</v>
      </c>
      <c r="E172" s="2" t="s">
        <v>490</v>
      </c>
      <c r="F172" s="2" t="s">
        <v>15</v>
      </c>
      <c r="G172" s="2">
        <v>0</v>
      </c>
      <c r="H172" s="2"/>
      <c r="I172" s="2"/>
      <c r="J172" s="16"/>
      <c r="K172" s="16"/>
      <c r="L172" s="16"/>
      <c r="M172" s="16"/>
    </row>
    <row r="173" spans="1:13" ht="14.45" customHeight="1" x14ac:dyDescent="0.25">
      <c r="A173" s="2" t="s">
        <v>480</v>
      </c>
      <c r="B173" s="2">
        <f>VLOOKUP(A173,'Candidatos E-26 ALC'!A168:I517,8,FALSE)</f>
        <v>2647</v>
      </c>
      <c r="C173" s="2" t="s">
        <v>473</v>
      </c>
      <c r="D173" s="2" t="s">
        <v>481</v>
      </c>
      <c r="E173" s="2" t="s">
        <v>160</v>
      </c>
      <c r="F173" s="2" t="s">
        <v>15</v>
      </c>
      <c r="G173" s="2">
        <v>0</v>
      </c>
      <c r="H173" s="2"/>
      <c r="I173" s="2"/>
      <c r="J173" s="16"/>
      <c r="K173" s="16"/>
      <c r="L173" s="16"/>
      <c r="M173" s="16"/>
    </row>
    <row r="174" spans="1:13" ht="14.45" customHeight="1" x14ac:dyDescent="0.25">
      <c r="A174" s="5" t="s">
        <v>482</v>
      </c>
      <c r="B174" s="2">
        <f>VLOOKUP(A174,'Candidatos E-26 ALC'!A169:I518,8,FALSE)</f>
        <v>1193</v>
      </c>
      <c r="C174" s="5" t="s">
        <v>473</v>
      </c>
      <c r="D174" s="5" t="s">
        <v>483</v>
      </c>
      <c r="E174" s="5" t="s">
        <v>31</v>
      </c>
      <c r="F174" s="5" t="s">
        <v>15</v>
      </c>
      <c r="G174" s="5">
        <v>0</v>
      </c>
      <c r="H174" s="5"/>
      <c r="I174" s="5"/>
      <c r="J174" s="17"/>
      <c r="K174" s="17"/>
      <c r="L174" s="17"/>
      <c r="M174" s="17"/>
    </row>
    <row r="175" spans="1:13" ht="14.45" customHeight="1" x14ac:dyDescent="0.25">
      <c r="A175" s="5" t="s">
        <v>491</v>
      </c>
      <c r="B175" s="2">
        <f>VLOOKUP(A175,'Candidatos E-26 ALC'!A173:I522,8,FALSE)</f>
        <v>969</v>
      </c>
      <c r="C175" s="5" t="s">
        <v>473</v>
      </c>
      <c r="D175" s="5" t="s">
        <v>492</v>
      </c>
      <c r="E175" s="5" t="s">
        <v>63</v>
      </c>
      <c r="F175" s="5" t="s">
        <v>15</v>
      </c>
      <c r="G175" s="5">
        <v>0</v>
      </c>
      <c r="H175" s="5"/>
      <c r="I175" s="5"/>
      <c r="J175" s="17"/>
      <c r="K175" s="17"/>
      <c r="L175" s="17"/>
      <c r="M175" s="17"/>
    </row>
    <row r="176" spans="1:13" ht="14.45" customHeight="1" x14ac:dyDescent="0.25">
      <c r="A176" s="8" t="s">
        <v>498</v>
      </c>
      <c r="B176" s="2">
        <f>VLOOKUP(A176,'Candidatos E-26 ALC'!A176:I525,8,FALSE)</f>
        <v>697910</v>
      </c>
      <c r="C176" s="8" t="s">
        <v>499</v>
      </c>
      <c r="D176" s="8" t="s">
        <v>501</v>
      </c>
      <c r="E176" s="8" t="s">
        <v>112</v>
      </c>
      <c r="F176" s="8" t="s">
        <v>25</v>
      </c>
      <c r="G176" s="8">
        <v>1</v>
      </c>
      <c r="H176" s="8"/>
      <c r="I176" s="8"/>
      <c r="J176" s="23" t="s">
        <v>957</v>
      </c>
      <c r="K176" s="23" t="s">
        <v>958</v>
      </c>
      <c r="L176" s="23" t="s">
        <v>959</v>
      </c>
      <c r="M176" s="23" t="s">
        <v>960</v>
      </c>
    </row>
    <row r="177" spans="1:13" ht="14.45" customHeight="1" x14ac:dyDescent="0.25">
      <c r="A177" s="5" t="s">
        <v>528</v>
      </c>
      <c r="B177" s="2">
        <f>VLOOKUP(A177,'Candidatos E-26 ALC'!A187:I536,8,FALSE)</f>
        <v>95883</v>
      </c>
      <c r="C177" s="5" t="s">
        <v>499</v>
      </c>
      <c r="D177" s="5" t="s">
        <v>529</v>
      </c>
      <c r="E177" s="5" t="s">
        <v>154</v>
      </c>
      <c r="F177" s="5" t="s">
        <v>15</v>
      </c>
      <c r="G177" s="5">
        <v>0</v>
      </c>
      <c r="H177" s="5"/>
      <c r="I177" s="5"/>
      <c r="J177" s="23" t="s">
        <v>992</v>
      </c>
      <c r="K177" s="23" t="s">
        <v>993</v>
      </c>
      <c r="L177" s="23" t="s">
        <v>994</v>
      </c>
      <c r="M177" s="23" t="s">
        <v>995</v>
      </c>
    </row>
    <row r="178" spans="1:13" ht="14.45" customHeight="1" x14ac:dyDescent="0.25">
      <c r="A178" s="5" t="s">
        <v>522</v>
      </c>
      <c r="B178" s="2">
        <f>VLOOKUP(A178,'Candidatos E-26 ALC'!A185:I534,8,FALSE)</f>
        <v>27261</v>
      </c>
      <c r="C178" s="5" t="s">
        <v>499</v>
      </c>
      <c r="D178" s="5" t="s">
        <v>523</v>
      </c>
      <c r="E178" s="5" t="s">
        <v>524</v>
      </c>
      <c r="F178" s="5" t="s">
        <v>15</v>
      </c>
      <c r="G178" s="5">
        <v>0</v>
      </c>
      <c r="H178" s="5"/>
      <c r="I178" s="5"/>
      <c r="J178" s="22" t="s">
        <v>1220</v>
      </c>
      <c r="K178" s="22" t="s">
        <v>1221</v>
      </c>
      <c r="L178" s="22" t="s">
        <v>1222</v>
      </c>
      <c r="M178" s="22" t="s">
        <v>1209</v>
      </c>
    </row>
    <row r="179" spans="1:13" ht="14.45" customHeight="1" x14ac:dyDescent="0.25">
      <c r="A179" s="2" t="s">
        <v>525</v>
      </c>
      <c r="B179" s="2">
        <f>VLOOKUP(A179,'Candidatos E-26 ALC'!A186:I535,8,FALSE)</f>
        <v>12836</v>
      </c>
      <c r="C179" s="2" t="s">
        <v>499</v>
      </c>
      <c r="D179" s="2" t="s">
        <v>526</v>
      </c>
      <c r="E179" s="2" t="s">
        <v>527</v>
      </c>
      <c r="F179" s="2" t="s">
        <v>15</v>
      </c>
      <c r="G179" s="2">
        <v>0</v>
      </c>
      <c r="H179" s="2"/>
      <c r="I179" s="2"/>
      <c r="J179" s="21" t="s">
        <v>1335</v>
      </c>
      <c r="K179" s="21" t="s">
        <v>1357</v>
      </c>
      <c r="L179" s="21" t="s">
        <v>1358</v>
      </c>
      <c r="M179" s="21" t="s">
        <v>1359</v>
      </c>
    </row>
    <row r="180" spans="1:13" ht="14.45" customHeight="1" x14ac:dyDescent="0.25">
      <c r="A180" s="5" t="s">
        <v>532</v>
      </c>
      <c r="B180" s="2">
        <f>VLOOKUP(A180,'Candidatos E-26 ALC'!A189:I538,8,FALSE)</f>
        <v>11776</v>
      </c>
      <c r="C180" s="5" t="s">
        <v>499</v>
      </c>
      <c r="D180" s="5" t="s">
        <v>533</v>
      </c>
      <c r="E180" s="5" t="s">
        <v>80</v>
      </c>
      <c r="F180" s="5" t="s">
        <v>15</v>
      </c>
      <c r="G180" s="5">
        <v>0</v>
      </c>
      <c r="H180" s="5"/>
      <c r="I180" s="5"/>
      <c r="J180" s="22" t="s">
        <v>1375</v>
      </c>
      <c r="K180" s="22" t="s">
        <v>1376</v>
      </c>
      <c r="L180" s="22" t="s">
        <v>1377</v>
      </c>
      <c r="M180" s="22" t="s">
        <v>1378</v>
      </c>
    </row>
    <row r="181" spans="1:13" ht="14.45" customHeight="1" x14ac:dyDescent="0.25">
      <c r="A181" s="5" t="s">
        <v>508</v>
      </c>
      <c r="B181" s="2">
        <f>VLOOKUP(A181,'Candidatos E-26 ALC'!A179:I528,8,FALSE)</f>
        <v>10707</v>
      </c>
      <c r="C181" s="5" t="s">
        <v>499</v>
      </c>
      <c r="D181" s="5" t="s">
        <v>509</v>
      </c>
      <c r="E181" s="5" t="s">
        <v>99</v>
      </c>
      <c r="F181" s="5" t="s">
        <v>15</v>
      </c>
      <c r="G181" s="5">
        <v>0</v>
      </c>
      <c r="H181" s="5"/>
      <c r="I181" s="5"/>
      <c r="J181" s="22" t="s">
        <v>1404</v>
      </c>
      <c r="K181" s="22" t="s">
        <v>1405</v>
      </c>
      <c r="L181" s="22" t="s">
        <v>1406</v>
      </c>
      <c r="M181" s="22" t="s">
        <v>1407</v>
      </c>
    </row>
    <row r="182" spans="1:13" ht="14.45" customHeight="1" x14ac:dyDescent="0.25">
      <c r="A182" s="2" t="s">
        <v>510</v>
      </c>
      <c r="B182" s="2">
        <f>VLOOKUP(A182,'Candidatos E-26 ALC'!A180:I529,8,FALSE)</f>
        <v>6370</v>
      </c>
      <c r="C182" s="2" t="s">
        <v>499</v>
      </c>
      <c r="D182" s="2" t="s">
        <v>511</v>
      </c>
      <c r="E182" s="2" t="s">
        <v>512</v>
      </c>
      <c r="F182" s="2" t="s">
        <v>15</v>
      </c>
      <c r="G182" s="2">
        <v>0</v>
      </c>
      <c r="H182" s="2"/>
      <c r="I182" s="2"/>
      <c r="J182" s="16"/>
      <c r="K182" s="16"/>
      <c r="L182" s="16"/>
      <c r="M182" s="16"/>
    </row>
    <row r="183" spans="1:13" ht="14.45" customHeight="1" x14ac:dyDescent="0.25">
      <c r="A183" s="2" t="s">
        <v>515</v>
      </c>
      <c r="B183" s="2">
        <f>VLOOKUP(A183,'Candidatos E-26 ALC'!A182:I531,8,FALSE)</f>
        <v>4172</v>
      </c>
      <c r="C183" s="2" t="s">
        <v>499</v>
      </c>
      <c r="D183" s="2" t="s">
        <v>516</v>
      </c>
      <c r="E183" s="2" t="s">
        <v>63</v>
      </c>
      <c r="F183" s="2" t="s">
        <v>15</v>
      </c>
      <c r="G183" s="2">
        <v>0</v>
      </c>
      <c r="H183" s="2"/>
      <c r="I183" s="2"/>
      <c r="J183" s="16"/>
      <c r="K183" s="16"/>
      <c r="L183" s="16"/>
      <c r="M183" s="16"/>
    </row>
    <row r="184" spans="1:13" ht="14.45" customHeight="1" x14ac:dyDescent="0.25">
      <c r="A184" s="5" t="s">
        <v>513</v>
      </c>
      <c r="B184" s="2">
        <f>VLOOKUP(A184,'Candidatos E-26 ALC'!A181:I530,8,FALSE)</f>
        <v>3944</v>
      </c>
      <c r="C184" s="5" t="s">
        <v>499</v>
      </c>
      <c r="D184" s="5" t="s">
        <v>514</v>
      </c>
      <c r="E184" s="5" t="s">
        <v>14</v>
      </c>
      <c r="F184" s="5" t="s">
        <v>15</v>
      </c>
      <c r="G184" s="5">
        <v>0</v>
      </c>
      <c r="H184" s="5"/>
      <c r="I184" s="5"/>
      <c r="J184" s="17"/>
      <c r="K184" s="17"/>
      <c r="L184" s="17"/>
      <c r="M184" s="17"/>
    </row>
    <row r="185" spans="1:13" ht="14.45" customHeight="1" x14ac:dyDescent="0.25">
      <c r="A185" s="5" t="s">
        <v>502</v>
      </c>
      <c r="B185" s="2">
        <f>VLOOKUP(A185,'Candidatos E-26 ALC'!A177:I526,8,FALSE)</f>
        <v>3214</v>
      </c>
      <c r="C185" s="5" t="s">
        <v>499</v>
      </c>
      <c r="D185" s="5" t="s">
        <v>503</v>
      </c>
      <c r="E185" s="5" t="s">
        <v>504</v>
      </c>
      <c r="F185" s="5" t="s">
        <v>15</v>
      </c>
      <c r="G185" s="5">
        <v>0</v>
      </c>
      <c r="H185" s="5"/>
      <c r="I185" s="5"/>
      <c r="J185" s="17"/>
      <c r="K185" s="17"/>
      <c r="L185" s="17"/>
      <c r="M185" s="17"/>
    </row>
    <row r="186" spans="1:13" ht="14.45" customHeight="1" x14ac:dyDescent="0.25">
      <c r="A186" s="2" t="s">
        <v>519</v>
      </c>
      <c r="B186" s="2">
        <f>VLOOKUP(A186,'Candidatos E-26 ALC'!A184:I533,8,FALSE)</f>
        <v>2749</v>
      </c>
      <c r="C186" s="2" t="s">
        <v>499</v>
      </c>
      <c r="D186" s="2" t="s">
        <v>520</v>
      </c>
      <c r="E186" s="2" t="s">
        <v>521</v>
      </c>
      <c r="F186" s="2" t="s">
        <v>15</v>
      </c>
      <c r="G186" s="2">
        <v>0</v>
      </c>
      <c r="H186" s="2"/>
      <c r="I186" s="2"/>
      <c r="J186" s="16"/>
      <c r="K186" s="16"/>
      <c r="L186" s="16"/>
      <c r="M186" s="16"/>
    </row>
    <row r="187" spans="1:13" ht="14.45" customHeight="1" x14ac:dyDescent="0.25">
      <c r="A187" s="2" t="s">
        <v>530</v>
      </c>
      <c r="B187" s="2">
        <f>VLOOKUP(A187,'Candidatos E-26 ALC'!A188:I537,8,FALSE)</f>
        <v>2676</v>
      </c>
      <c r="C187" s="2" t="s">
        <v>499</v>
      </c>
      <c r="D187" s="2" t="s">
        <v>531</v>
      </c>
      <c r="E187" s="2" t="s">
        <v>137</v>
      </c>
      <c r="F187" s="2" t="s">
        <v>15</v>
      </c>
      <c r="G187" s="2">
        <v>0</v>
      </c>
      <c r="H187" s="2"/>
      <c r="I187" s="2"/>
      <c r="J187" s="16"/>
      <c r="K187" s="16"/>
      <c r="L187" s="16"/>
      <c r="M187" s="16"/>
    </row>
    <row r="188" spans="1:13" ht="14.45" customHeight="1" x14ac:dyDescent="0.25">
      <c r="A188" s="5" t="s">
        <v>517</v>
      </c>
      <c r="B188" s="2">
        <f>VLOOKUP(A188,'Candidatos E-26 ALC'!A183:I532,8,FALSE)</f>
        <v>1714</v>
      </c>
      <c r="C188" s="5" t="s">
        <v>499</v>
      </c>
      <c r="D188" s="5" t="s">
        <v>518</v>
      </c>
      <c r="E188" s="5" t="s">
        <v>52</v>
      </c>
      <c r="F188" s="5" t="s">
        <v>15</v>
      </c>
      <c r="G188" s="5">
        <v>0</v>
      </c>
      <c r="H188" s="5"/>
      <c r="I188" s="5"/>
      <c r="J188" s="17"/>
      <c r="K188" s="17"/>
      <c r="L188" s="17"/>
      <c r="M188" s="17"/>
    </row>
    <row r="189" spans="1:13" ht="14.45" customHeight="1" x14ac:dyDescent="0.25">
      <c r="A189" s="2" t="s">
        <v>505</v>
      </c>
      <c r="B189" s="2">
        <f>VLOOKUP(A189,'Candidatos E-26 ALC'!A178:I527,8,FALSE)</f>
        <v>1107</v>
      </c>
      <c r="C189" s="2" t="s">
        <v>499</v>
      </c>
      <c r="D189" s="2" t="s">
        <v>506</v>
      </c>
      <c r="E189" s="2" t="s">
        <v>507</v>
      </c>
      <c r="F189" s="2" t="s">
        <v>15</v>
      </c>
      <c r="G189" s="2">
        <v>0</v>
      </c>
      <c r="H189" s="2"/>
      <c r="I189" s="2"/>
      <c r="J189" s="16"/>
      <c r="K189" s="16"/>
      <c r="L189" s="16"/>
      <c r="M189" s="16"/>
    </row>
    <row r="190" spans="1:13" ht="14.45" customHeight="1" x14ac:dyDescent="0.25">
      <c r="A190" s="8" t="s">
        <v>553</v>
      </c>
      <c r="B190" s="2">
        <f>VLOOKUP(A190,'Candidatos E-26 ALC'!A197:I546,8,FALSE)</f>
        <v>115657</v>
      </c>
      <c r="C190" s="8" t="s">
        <v>535</v>
      </c>
      <c r="D190" s="8" t="s">
        <v>554</v>
      </c>
      <c r="E190" s="8" t="s">
        <v>555</v>
      </c>
      <c r="F190" s="8" t="s">
        <v>25</v>
      </c>
      <c r="G190" s="8">
        <v>1</v>
      </c>
      <c r="H190" s="8"/>
      <c r="I190" s="8"/>
      <c r="J190" s="23" t="s">
        <v>988</v>
      </c>
      <c r="K190" s="23" t="s">
        <v>989</v>
      </c>
      <c r="L190" s="23" t="s">
        <v>990</v>
      </c>
      <c r="M190" s="23" t="s">
        <v>991</v>
      </c>
    </row>
    <row r="191" spans="1:13" ht="14.45" customHeight="1" x14ac:dyDescent="0.25">
      <c r="A191" s="5" t="s">
        <v>548</v>
      </c>
      <c r="B191" s="2">
        <f>VLOOKUP(A191,'Candidatos E-26 ALC'!A195:I544,8,FALSE)</f>
        <v>88383</v>
      </c>
      <c r="C191" s="5" t="s">
        <v>535</v>
      </c>
      <c r="D191" s="5" t="s">
        <v>549</v>
      </c>
      <c r="E191" s="5" t="s">
        <v>550</v>
      </c>
      <c r="F191" s="5" t="s">
        <v>15</v>
      </c>
      <c r="G191" s="5">
        <v>0</v>
      </c>
      <c r="H191" s="5"/>
      <c r="I191" s="5"/>
      <c r="J191" s="23" t="s">
        <v>1004</v>
      </c>
      <c r="K191" s="23" t="s">
        <v>1001</v>
      </c>
      <c r="L191" s="23" t="s">
        <v>1003</v>
      </c>
      <c r="M191" s="23" t="s">
        <v>1002</v>
      </c>
    </row>
    <row r="192" spans="1:13" ht="14.45" customHeight="1" x14ac:dyDescent="0.25">
      <c r="A192" s="2" t="s">
        <v>541</v>
      </c>
      <c r="B192" s="2">
        <f>VLOOKUP(A192,'Candidatos E-26 ALC'!A192:I541,8,FALSE)</f>
        <v>5637</v>
      </c>
      <c r="C192" s="2" t="s">
        <v>535</v>
      </c>
      <c r="D192" s="2" t="s">
        <v>542</v>
      </c>
      <c r="E192" s="2" t="s">
        <v>80</v>
      </c>
      <c r="F192" s="2" t="s">
        <v>15</v>
      </c>
      <c r="G192" s="2">
        <v>0</v>
      </c>
      <c r="H192" s="2"/>
      <c r="I192" s="2"/>
      <c r="J192" s="16"/>
      <c r="K192" s="16"/>
      <c r="L192" s="16"/>
      <c r="M192" s="16"/>
    </row>
    <row r="193" spans="1:13" ht="14.45" customHeight="1" x14ac:dyDescent="0.25">
      <c r="A193" s="2" t="s">
        <v>551</v>
      </c>
      <c r="B193" s="2">
        <f>VLOOKUP(A193,'Candidatos E-26 ALC'!A196:I545,8,FALSE)</f>
        <v>4376</v>
      </c>
      <c r="C193" s="2" t="s">
        <v>535</v>
      </c>
      <c r="D193" s="2" t="s">
        <v>552</v>
      </c>
      <c r="E193" s="2" t="s">
        <v>126</v>
      </c>
      <c r="F193" s="2" t="s">
        <v>15</v>
      </c>
      <c r="G193" s="2">
        <v>0</v>
      </c>
      <c r="H193" s="2"/>
      <c r="I193" s="2"/>
      <c r="J193" s="16"/>
      <c r="K193" s="16"/>
      <c r="L193" s="16"/>
      <c r="M193" s="16"/>
    </row>
    <row r="194" spans="1:13" ht="14.45" customHeight="1" x14ac:dyDescent="0.25">
      <c r="A194" s="2" t="s">
        <v>546</v>
      </c>
      <c r="B194" s="2">
        <f>VLOOKUP(A194,'Candidatos E-26 ALC'!A194:I543,8,FALSE)</f>
        <v>1200</v>
      </c>
      <c r="C194" s="2" t="s">
        <v>535</v>
      </c>
      <c r="D194" s="2" t="s">
        <v>547</v>
      </c>
      <c r="E194" s="2" t="s">
        <v>74</v>
      </c>
      <c r="F194" s="2" t="s">
        <v>15</v>
      </c>
      <c r="G194" s="2">
        <v>0</v>
      </c>
      <c r="H194" s="2"/>
      <c r="I194" s="2"/>
      <c r="J194" s="16"/>
      <c r="K194" s="16"/>
      <c r="L194" s="16"/>
      <c r="M194" s="16"/>
    </row>
    <row r="195" spans="1:13" ht="14.45" customHeight="1" x14ac:dyDescent="0.25">
      <c r="A195" s="5" t="s">
        <v>539</v>
      </c>
      <c r="B195" s="2">
        <f>VLOOKUP(A195,'Candidatos E-26 ALC'!A191:I540,8,FALSE)</f>
        <v>771</v>
      </c>
      <c r="C195" s="5" t="s">
        <v>535</v>
      </c>
      <c r="D195" s="5" t="s">
        <v>540</v>
      </c>
      <c r="E195" s="5" t="s">
        <v>63</v>
      </c>
      <c r="F195" s="5" t="s">
        <v>15</v>
      </c>
      <c r="G195" s="5">
        <v>0</v>
      </c>
      <c r="H195" s="5"/>
      <c r="I195" s="5"/>
      <c r="J195" s="17"/>
      <c r="K195" s="17"/>
      <c r="L195" s="17"/>
      <c r="M195" s="17"/>
    </row>
    <row r="196" spans="1:13" ht="14.45" customHeight="1" x14ac:dyDescent="0.25">
      <c r="A196" s="5" t="s">
        <v>543</v>
      </c>
      <c r="B196" s="2">
        <f>VLOOKUP(A196,'Candidatos E-26 ALC'!A193:I542,8,FALSE)</f>
        <v>503</v>
      </c>
      <c r="C196" s="5" t="s">
        <v>535</v>
      </c>
      <c r="D196" s="5" t="s">
        <v>544</v>
      </c>
      <c r="E196" s="5" t="s">
        <v>545</v>
      </c>
      <c r="F196" s="5" t="s">
        <v>15</v>
      </c>
      <c r="G196" s="5">
        <v>0</v>
      </c>
      <c r="H196" s="5"/>
      <c r="I196" s="5"/>
      <c r="J196" s="17"/>
      <c r="K196" s="17"/>
      <c r="L196" s="17"/>
      <c r="M196" s="17"/>
    </row>
    <row r="197" spans="1:13" ht="14.45" customHeight="1" x14ac:dyDescent="0.25">
      <c r="A197" s="2" t="s">
        <v>534</v>
      </c>
      <c r="B197" s="2">
        <f>VLOOKUP(A197,'Candidatos E-26 ALC'!A190:I539,8,FALSE)</f>
        <v>293</v>
      </c>
      <c r="C197" s="2" t="s">
        <v>535</v>
      </c>
      <c r="D197" s="2" t="s">
        <v>538</v>
      </c>
      <c r="E197" s="2" t="s">
        <v>160</v>
      </c>
      <c r="F197" s="2" t="s">
        <v>15</v>
      </c>
      <c r="G197" s="2">
        <v>0</v>
      </c>
      <c r="H197" s="2"/>
      <c r="I197" s="2"/>
      <c r="J197" s="16"/>
      <c r="K197" s="16"/>
      <c r="L197" s="16"/>
      <c r="M197" s="16"/>
    </row>
    <row r="198" spans="1:13" ht="14.45" customHeight="1" x14ac:dyDescent="0.25">
      <c r="A198" s="8" t="s">
        <v>573</v>
      </c>
      <c r="B198" s="2">
        <f>VLOOKUP(A198,'Candidatos E-26 ALC'!A204:I553,8,FALSE)</f>
        <v>57058</v>
      </c>
      <c r="C198" s="8" t="s">
        <v>557</v>
      </c>
      <c r="D198" s="8" t="s">
        <v>574</v>
      </c>
      <c r="E198" s="8" t="s">
        <v>575</v>
      </c>
      <c r="F198" s="8" t="s">
        <v>25</v>
      </c>
      <c r="G198" s="8">
        <v>1</v>
      </c>
      <c r="H198" s="8"/>
      <c r="I198" s="8"/>
      <c r="J198" s="23" t="s">
        <v>1085</v>
      </c>
      <c r="K198" s="23" t="s">
        <v>1084</v>
      </c>
      <c r="L198" s="23" t="s">
        <v>1083</v>
      </c>
      <c r="M198" s="23" t="s">
        <v>1082</v>
      </c>
    </row>
    <row r="199" spans="1:13" ht="14.45" customHeight="1" x14ac:dyDescent="0.25">
      <c r="A199" s="2" t="s">
        <v>556</v>
      </c>
      <c r="B199" s="2">
        <f>VLOOKUP(A199,'Candidatos E-26 ALC'!A198:I547,8,FALSE)</f>
        <v>18556</v>
      </c>
      <c r="C199" s="2" t="s">
        <v>557</v>
      </c>
      <c r="D199" s="2" t="s">
        <v>560</v>
      </c>
      <c r="E199" s="2" t="s">
        <v>182</v>
      </c>
      <c r="F199" s="2" t="s">
        <v>15</v>
      </c>
      <c r="G199" s="2">
        <v>0</v>
      </c>
      <c r="H199" s="2"/>
      <c r="I199" s="2"/>
      <c r="J199" s="21" t="s">
        <v>1306</v>
      </c>
      <c r="K199" s="16"/>
      <c r="L199" s="16"/>
      <c r="M199" s="21" t="s">
        <v>1307</v>
      </c>
    </row>
    <row r="200" spans="1:13" ht="14.45" customHeight="1" x14ac:dyDescent="0.25">
      <c r="A200" s="5" t="s">
        <v>576</v>
      </c>
      <c r="B200" s="2">
        <f>VLOOKUP(A200,'Candidatos E-26 ALC'!A205:I554,8,FALSE)</f>
        <v>14453</v>
      </c>
      <c r="C200" s="5" t="s">
        <v>557</v>
      </c>
      <c r="D200" s="5" t="s">
        <v>577</v>
      </c>
      <c r="E200" s="5" t="s">
        <v>578</v>
      </c>
      <c r="F200" s="5" t="s">
        <v>15</v>
      </c>
      <c r="G200" s="5">
        <v>0</v>
      </c>
      <c r="H200" s="5"/>
      <c r="I200" s="5"/>
      <c r="J200" s="22" t="s">
        <v>1342</v>
      </c>
      <c r="K200" s="17"/>
      <c r="L200" s="17"/>
      <c r="M200" s="22" t="s">
        <v>1343</v>
      </c>
    </row>
    <row r="201" spans="1:13" ht="14.45" customHeight="1" x14ac:dyDescent="0.25">
      <c r="A201" s="5" t="s">
        <v>570</v>
      </c>
      <c r="B201" s="2">
        <f>VLOOKUP(A201,'Candidatos E-26 ALC'!A203:I552,8,FALSE)</f>
        <v>13176</v>
      </c>
      <c r="C201" s="5" t="s">
        <v>557</v>
      </c>
      <c r="D201" s="5" t="s">
        <v>571</v>
      </c>
      <c r="E201" s="5" t="s">
        <v>572</v>
      </c>
      <c r="F201" s="5" t="s">
        <v>15</v>
      </c>
      <c r="G201" s="5">
        <v>0</v>
      </c>
      <c r="H201" s="5"/>
      <c r="I201" s="5"/>
      <c r="J201" s="22" t="s">
        <v>1351</v>
      </c>
      <c r="K201" s="22" t="s">
        <v>1349</v>
      </c>
      <c r="L201" s="22" t="s">
        <v>1350</v>
      </c>
      <c r="M201" s="22" t="s">
        <v>1348</v>
      </c>
    </row>
    <row r="202" spans="1:13" ht="14.45" customHeight="1" x14ac:dyDescent="0.25">
      <c r="A202" s="5" t="s">
        <v>565</v>
      </c>
      <c r="B202" s="2">
        <f>VLOOKUP(A202,'Candidatos E-26 ALC'!A201:I550,8,FALSE)</f>
        <v>12722</v>
      </c>
      <c r="C202" s="5" t="s">
        <v>557</v>
      </c>
      <c r="D202" s="5" t="s">
        <v>566</v>
      </c>
      <c r="E202" s="5" t="s">
        <v>567</v>
      </c>
      <c r="F202" s="5" t="s">
        <v>15</v>
      </c>
      <c r="G202" s="5">
        <v>0</v>
      </c>
      <c r="H202" s="5"/>
      <c r="I202" s="5"/>
      <c r="J202" s="22" t="s">
        <v>1320</v>
      </c>
      <c r="K202" s="17"/>
      <c r="L202" s="22" t="s">
        <v>1364</v>
      </c>
      <c r="M202" s="22" t="s">
        <v>1365</v>
      </c>
    </row>
    <row r="203" spans="1:13" ht="14.45" customHeight="1" x14ac:dyDescent="0.25">
      <c r="A203" s="5" t="s">
        <v>561</v>
      </c>
      <c r="B203" s="2">
        <f>VLOOKUP(A203,'Candidatos E-26 ALC'!A199:I548,8,FALSE)</f>
        <v>12111</v>
      </c>
      <c r="C203" s="5" t="s">
        <v>557</v>
      </c>
      <c r="D203" s="5" t="s">
        <v>562</v>
      </c>
      <c r="E203" s="5" t="s">
        <v>432</v>
      </c>
      <c r="F203" s="5" t="s">
        <v>15</v>
      </c>
      <c r="G203" s="5">
        <v>0</v>
      </c>
      <c r="H203" s="5"/>
      <c r="I203" s="5"/>
      <c r="J203" s="22" t="s">
        <v>1367</v>
      </c>
      <c r="K203" s="22" t="s">
        <v>1368</v>
      </c>
      <c r="L203" s="22" t="s">
        <v>1369</v>
      </c>
      <c r="M203" s="22" t="s">
        <v>1370</v>
      </c>
    </row>
    <row r="204" spans="1:13" ht="14.45" customHeight="1" x14ac:dyDescent="0.25">
      <c r="A204" s="2" t="s">
        <v>579</v>
      </c>
      <c r="B204" s="2">
        <f>VLOOKUP(A204,'Candidatos E-26 ALC'!A206:I555,8,FALSE)</f>
        <v>12081</v>
      </c>
      <c r="C204" s="2" t="s">
        <v>557</v>
      </c>
      <c r="D204" s="2" t="s">
        <v>580</v>
      </c>
      <c r="E204" s="2" t="s">
        <v>581</v>
      </c>
      <c r="F204" s="2" t="s">
        <v>15</v>
      </c>
      <c r="G204" s="2">
        <v>0</v>
      </c>
      <c r="H204" s="2"/>
      <c r="I204" s="2"/>
      <c r="J204" s="16"/>
      <c r="K204" s="16"/>
      <c r="L204" s="16"/>
      <c r="M204" s="16"/>
    </row>
    <row r="205" spans="1:13" ht="14.45" customHeight="1" x14ac:dyDescent="0.25">
      <c r="A205" s="2" t="s">
        <v>563</v>
      </c>
      <c r="B205" s="2">
        <f>VLOOKUP(A205,'Candidatos E-26 ALC'!A200:I549,8,FALSE)</f>
        <v>889</v>
      </c>
      <c r="C205" s="2" t="s">
        <v>557</v>
      </c>
      <c r="D205" s="2" t="s">
        <v>564</v>
      </c>
      <c r="E205" s="2" t="s">
        <v>249</v>
      </c>
      <c r="F205" s="2" t="s">
        <v>15</v>
      </c>
      <c r="G205" s="2">
        <v>0</v>
      </c>
      <c r="H205" s="2"/>
      <c r="I205" s="2"/>
      <c r="J205" s="16"/>
      <c r="K205" s="16"/>
      <c r="L205" s="16"/>
      <c r="M205" s="16"/>
    </row>
    <row r="206" spans="1:13" ht="14.45" customHeight="1" x14ac:dyDescent="0.25">
      <c r="A206" s="2" t="s">
        <v>568</v>
      </c>
      <c r="B206" s="2">
        <f>VLOOKUP(A206,'Candidatos E-26 ALC'!A202:I551,8,FALSE)</f>
        <v>642</v>
      </c>
      <c r="C206" s="2" t="s">
        <v>557</v>
      </c>
      <c r="D206" s="2" t="s">
        <v>569</v>
      </c>
      <c r="E206" s="2" t="s">
        <v>63</v>
      </c>
      <c r="F206" s="2" t="s">
        <v>15</v>
      </c>
      <c r="G206" s="2">
        <v>0</v>
      </c>
      <c r="H206" s="2"/>
      <c r="I206" s="2"/>
      <c r="J206" s="16"/>
      <c r="K206" s="16"/>
      <c r="L206" s="16"/>
      <c r="M206" s="16"/>
    </row>
    <row r="207" spans="1:13" ht="14.45" customHeight="1" x14ac:dyDescent="0.25">
      <c r="A207" s="8" t="s">
        <v>597</v>
      </c>
      <c r="B207" s="2">
        <f>VLOOKUP(A207,'Candidatos E-26 ALC'!A213:I562,8,FALSE)</f>
        <v>57408</v>
      </c>
      <c r="C207" s="8" t="s">
        <v>583</v>
      </c>
      <c r="D207" s="8" t="s">
        <v>598</v>
      </c>
      <c r="E207" s="8" t="s">
        <v>599</v>
      </c>
      <c r="F207" s="8" t="s">
        <v>25</v>
      </c>
      <c r="G207" s="8">
        <v>1</v>
      </c>
      <c r="H207" s="8"/>
      <c r="I207" s="8"/>
      <c r="J207" s="23" t="s">
        <v>1080</v>
      </c>
      <c r="K207" s="23" t="s">
        <v>1078</v>
      </c>
      <c r="L207" s="23" t="s">
        <v>1081</v>
      </c>
      <c r="M207" s="23" t="s">
        <v>1079</v>
      </c>
    </row>
    <row r="208" spans="1:13" ht="14.45" customHeight="1" x14ac:dyDescent="0.25">
      <c r="A208" s="5" t="s">
        <v>588</v>
      </c>
      <c r="B208" s="2">
        <f>VLOOKUP(A208,'Candidatos E-26 ALC'!A209:I558,8,FALSE)</f>
        <v>37368</v>
      </c>
      <c r="C208" s="5" t="s">
        <v>583</v>
      </c>
      <c r="D208" s="5" t="s">
        <v>589</v>
      </c>
      <c r="E208" s="5" t="s">
        <v>590</v>
      </c>
      <c r="F208" s="5" t="s">
        <v>15</v>
      </c>
      <c r="G208" s="5">
        <v>0</v>
      </c>
      <c r="H208" s="5"/>
      <c r="I208" s="5"/>
      <c r="J208" s="22" t="s">
        <v>1146</v>
      </c>
      <c r="K208" s="22" t="s">
        <v>1148</v>
      </c>
      <c r="L208" s="22" t="s">
        <v>1149</v>
      </c>
      <c r="M208" s="22" t="s">
        <v>1147</v>
      </c>
    </row>
    <row r="209" spans="1:13" ht="14.45" customHeight="1" x14ac:dyDescent="0.25">
      <c r="A209" s="5" t="s">
        <v>602</v>
      </c>
      <c r="B209" s="2">
        <f>VLOOKUP(A209,'Candidatos E-26 ALC'!A215:I564,8,FALSE)</f>
        <v>17471</v>
      </c>
      <c r="C209" s="5" t="s">
        <v>583</v>
      </c>
      <c r="D209" s="5" t="s">
        <v>603</v>
      </c>
      <c r="E209" s="5" t="s">
        <v>604</v>
      </c>
      <c r="F209" s="5" t="s">
        <v>15</v>
      </c>
      <c r="G209" s="5">
        <v>0</v>
      </c>
      <c r="H209" s="5"/>
      <c r="I209" s="5"/>
      <c r="J209" s="22" t="s">
        <v>1302</v>
      </c>
      <c r="K209" s="22" t="s">
        <v>1303</v>
      </c>
      <c r="L209" s="22" t="s">
        <v>1304</v>
      </c>
      <c r="M209" s="22" t="s">
        <v>1305</v>
      </c>
    </row>
    <row r="210" spans="1:13" ht="14.45" customHeight="1" x14ac:dyDescent="0.25">
      <c r="A210" s="5" t="s">
        <v>593</v>
      </c>
      <c r="B210" s="2">
        <f>VLOOKUP(A210,'Candidatos E-26 ALC'!A211:I560,8,FALSE)</f>
        <v>5044</v>
      </c>
      <c r="C210" s="5" t="s">
        <v>583</v>
      </c>
      <c r="D210" s="5" t="s">
        <v>594</v>
      </c>
      <c r="E210" s="5" t="s">
        <v>52</v>
      </c>
      <c r="F210" s="5" t="s">
        <v>15</v>
      </c>
      <c r="G210" s="5">
        <v>0</v>
      </c>
      <c r="H210" s="5"/>
      <c r="I210" s="5"/>
      <c r="J210" s="17"/>
      <c r="K210" s="17"/>
      <c r="L210" s="17"/>
      <c r="M210" s="17"/>
    </row>
    <row r="211" spans="1:13" ht="14.45" customHeight="1" x14ac:dyDescent="0.25">
      <c r="A211" s="2" t="s">
        <v>586</v>
      </c>
      <c r="B211" s="2">
        <f>VLOOKUP(A211,'Candidatos E-26 ALC'!A208:I557,8,FALSE)</f>
        <v>4018</v>
      </c>
      <c r="C211" s="2" t="s">
        <v>583</v>
      </c>
      <c r="D211" s="2" t="s">
        <v>587</v>
      </c>
      <c r="E211" s="2" t="s">
        <v>99</v>
      </c>
      <c r="F211" s="2" t="s">
        <v>15</v>
      </c>
      <c r="G211" s="2">
        <v>0</v>
      </c>
      <c r="H211" s="2"/>
      <c r="I211" s="2"/>
      <c r="J211" s="16"/>
      <c r="K211" s="16"/>
      <c r="L211" s="16"/>
      <c r="M211" s="16"/>
    </row>
    <row r="212" spans="1:13" ht="14.45" customHeight="1" x14ac:dyDescent="0.25">
      <c r="A212" s="5" t="s">
        <v>582</v>
      </c>
      <c r="B212" s="2">
        <f>VLOOKUP(A212,'Candidatos E-26 ALC'!A207:I556,8,FALSE)</f>
        <v>2601</v>
      </c>
      <c r="C212" s="5" t="s">
        <v>583</v>
      </c>
      <c r="D212" s="5" t="s">
        <v>585</v>
      </c>
      <c r="E212" s="5" t="s">
        <v>63</v>
      </c>
      <c r="F212" s="5" t="s">
        <v>15</v>
      </c>
      <c r="G212" s="5">
        <v>0</v>
      </c>
      <c r="H212" s="5"/>
      <c r="I212" s="5"/>
      <c r="J212" s="17"/>
      <c r="K212" s="17"/>
      <c r="L212" s="17"/>
      <c r="M212" s="17"/>
    </row>
    <row r="213" spans="1:13" ht="14.45" customHeight="1" x14ac:dyDescent="0.25">
      <c r="A213" s="2" t="s">
        <v>595</v>
      </c>
      <c r="B213" s="2">
        <f>VLOOKUP(A213,'Candidatos E-26 ALC'!A212:I561,8,FALSE)</f>
        <v>2369</v>
      </c>
      <c r="C213" s="2" t="s">
        <v>583</v>
      </c>
      <c r="D213" s="2" t="s">
        <v>596</v>
      </c>
      <c r="E213" s="2" t="s">
        <v>37</v>
      </c>
      <c r="F213" s="2" t="s">
        <v>15</v>
      </c>
      <c r="G213" s="2">
        <v>0</v>
      </c>
      <c r="H213" s="2"/>
      <c r="I213" s="2"/>
      <c r="J213" s="16"/>
      <c r="K213" s="16"/>
      <c r="L213" s="16"/>
      <c r="M213" s="16"/>
    </row>
    <row r="214" spans="1:13" ht="14.45" customHeight="1" x14ac:dyDescent="0.25">
      <c r="A214" s="2" t="s">
        <v>605</v>
      </c>
      <c r="B214" s="2">
        <f>VLOOKUP(A214,'Candidatos E-26 ALC'!A216:I565,8,FALSE)</f>
        <v>1234</v>
      </c>
      <c r="C214" s="2" t="s">
        <v>583</v>
      </c>
      <c r="D214" s="2" t="s">
        <v>606</v>
      </c>
      <c r="E214" s="2" t="s">
        <v>154</v>
      </c>
      <c r="F214" s="2" t="s">
        <v>15</v>
      </c>
      <c r="G214" s="2">
        <v>0</v>
      </c>
      <c r="H214" s="2"/>
      <c r="I214" s="2"/>
      <c r="J214" s="16"/>
      <c r="K214" s="16"/>
      <c r="L214" s="16"/>
      <c r="M214" s="16"/>
    </row>
    <row r="215" spans="1:13" ht="14.45" customHeight="1" x14ac:dyDescent="0.25">
      <c r="A215" s="2" t="s">
        <v>591</v>
      </c>
      <c r="B215" s="2">
        <f>VLOOKUP(A215,'Candidatos E-26 ALC'!A210:I559,8,FALSE)</f>
        <v>872</v>
      </c>
      <c r="C215" s="2" t="s">
        <v>583</v>
      </c>
      <c r="D215" s="2" t="s">
        <v>592</v>
      </c>
      <c r="E215" s="2" t="s">
        <v>166</v>
      </c>
      <c r="F215" s="2" t="s">
        <v>15</v>
      </c>
      <c r="G215" s="2">
        <v>0</v>
      </c>
      <c r="H215" s="2"/>
      <c r="I215" s="2"/>
      <c r="J215" s="16"/>
      <c r="K215" s="16"/>
      <c r="L215" s="16"/>
      <c r="M215" s="16"/>
    </row>
    <row r="216" spans="1:13" ht="14.45" customHeight="1" x14ac:dyDescent="0.25">
      <c r="A216" s="2" t="s">
        <v>600</v>
      </c>
      <c r="B216" s="2">
        <f>VLOOKUP(A216,'Candidatos E-26 ALC'!A214:I563,8,FALSE)</f>
        <v>640</v>
      </c>
      <c r="C216" s="2" t="s">
        <v>583</v>
      </c>
      <c r="D216" s="2" t="s">
        <v>601</v>
      </c>
      <c r="E216" s="2" t="s">
        <v>249</v>
      </c>
      <c r="F216" s="2" t="s">
        <v>15</v>
      </c>
      <c r="G216" s="2">
        <v>0</v>
      </c>
      <c r="H216" s="2"/>
      <c r="I216" s="2"/>
      <c r="J216" s="16"/>
      <c r="K216" s="16"/>
      <c r="L216" s="16"/>
      <c r="M216" s="16"/>
    </row>
    <row r="217" spans="1:13" ht="14.45" customHeight="1" x14ac:dyDescent="0.25">
      <c r="A217" s="8" t="s">
        <v>622</v>
      </c>
      <c r="B217" s="2">
        <f>VLOOKUP(A217,'Candidatos E-26 ALC'!A222:I571,8,FALSE)</f>
        <v>74571</v>
      </c>
      <c r="C217" s="8" t="s">
        <v>608</v>
      </c>
      <c r="D217" s="8" t="s">
        <v>623</v>
      </c>
      <c r="E217" s="8" t="s">
        <v>624</v>
      </c>
      <c r="F217" s="8" t="s">
        <v>25</v>
      </c>
      <c r="G217" s="8">
        <v>1</v>
      </c>
      <c r="H217" s="8"/>
      <c r="I217" s="8"/>
      <c r="J217" s="23" t="s">
        <v>1038</v>
      </c>
      <c r="K217" s="23" t="s">
        <v>1039</v>
      </c>
      <c r="L217" s="23" t="s">
        <v>1040</v>
      </c>
      <c r="M217" s="23" t="s">
        <v>1037</v>
      </c>
    </row>
    <row r="218" spans="1:13" ht="14.45" customHeight="1" x14ac:dyDescent="0.25">
      <c r="A218" s="2" t="s">
        <v>617</v>
      </c>
      <c r="B218" s="2">
        <f>VLOOKUP(A218,'Candidatos E-26 ALC'!A220:I569,8,FALSE)</f>
        <v>45856</v>
      </c>
      <c r="C218" s="2" t="s">
        <v>608</v>
      </c>
      <c r="D218" s="2" t="s">
        <v>618</v>
      </c>
      <c r="E218" s="2" t="s">
        <v>619</v>
      </c>
      <c r="F218" s="2" t="s">
        <v>15</v>
      </c>
      <c r="G218" s="2">
        <v>0</v>
      </c>
      <c r="H218" s="2"/>
      <c r="I218" s="2"/>
      <c r="J218" s="21" t="s">
        <v>1120</v>
      </c>
      <c r="K218" s="21" t="s">
        <v>1121</v>
      </c>
      <c r="L218" s="21" t="s">
        <v>1123</v>
      </c>
      <c r="M218" s="21" t="s">
        <v>1122</v>
      </c>
    </row>
    <row r="219" spans="1:13" ht="14.45" customHeight="1" x14ac:dyDescent="0.25">
      <c r="A219" s="5" t="s">
        <v>614</v>
      </c>
      <c r="B219" s="2">
        <f>VLOOKUP(A219,'Candidatos E-26 ALC'!A219:I568,8,FALSE)</f>
        <v>14890</v>
      </c>
      <c r="C219" s="5" t="s">
        <v>608</v>
      </c>
      <c r="D219" s="5" t="s">
        <v>615</v>
      </c>
      <c r="E219" s="5" t="s">
        <v>616</v>
      </c>
      <c r="F219" s="5" t="s">
        <v>15</v>
      </c>
      <c r="G219" s="5">
        <v>0</v>
      </c>
      <c r="H219" s="5"/>
      <c r="I219" s="5"/>
      <c r="J219" s="22" t="s">
        <v>1330</v>
      </c>
      <c r="K219" s="22" t="s">
        <v>1331</v>
      </c>
      <c r="L219" s="22" t="s">
        <v>1332</v>
      </c>
      <c r="M219" s="22" t="s">
        <v>1333</v>
      </c>
    </row>
    <row r="220" spans="1:13" ht="14.45" customHeight="1" x14ac:dyDescent="0.25">
      <c r="A220" s="2" t="s">
        <v>627</v>
      </c>
      <c r="B220" s="2">
        <f>VLOOKUP(A220,'Candidatos E-26 ALC'!A224:I573,8,FALSE)</f>
        <v>7733</v>
      </c>
      <c r="C220" s="2" t="s">
        <v>608</v>
      </c>
      <c r="D220" s="2" t="s">
        <v>628</v>
      </c>
      <c r="E220" s="2" t="s">
        <v>144</v>
      </c>
      <c r="F220" s="2" t="s">
        <v>15</v>
      </c>
      <c r="G220" s="2">
        <v>0</v>
      </c>
      <c r="H220" s="2"/>
      <c r="I220" s="2"/>
      <c r="J220" s="19"/>
      <c r="K220" s="19"/>
      <c r="L220" s="16"/>
      <c r="M220" s="16"/>
    </row>
    <row r="221" spans="1:13" ht="14.45" customHeight="1" x14ac:dyDescent="0.25">
      <c r="A221" s="5" t="s">
        <v>625</v>
      </c>
      <c r="B221" s="2">
        <f>VLOOKUP(A221,'Candidatos E-26 ALC'!A223:I572,8,FALSE)</f>
        <v>5346</v>
      </c>
      <c r="C221" s="5" t="s">
        <v>608</v>
      </c>
      <c r="D221" s="5" t="s">
        <v>626</v>
      </c>
      <c r="E221" s="5" t="s">
        <v>43</v>
      </c>
      <c r="F221" s="5" t="s">
        <v>15</v>
      </c>
      <c r="G221" s="5">
        <v>0</v>
      </c>
      <c r="H221" s="5"/>
      <c r="I221" s="5"/>
      <c r="J221" s="17"/>
      <c r="K221" s="17"/>
      <c r="L221" s="17"/>
      <c r="M221" s="17"/>
    </row>
    <row r="222" spans="1:13" ht="14.45" customHeight="1" x14ac:dyDescent="0.25">
      <c r="A222" s="2" t="s">
        <v>612</v>
      </c>
      <c r="B222" s="2">
        <f>VLOOKUP(A222,'Candidatos E-26 ALC'!A218:I567,8,FALSE)</f>
        <v>4648</v>
      </c>
      <c r="C222" s="2" t="s">
        <v>608</v>
      </c>
      <c r="D222" s="2" t="s">
        <v>613</v>
      </c>
      <c r="E222" s="2" t="s">
        <v>14</v>
      </c>
      <c r="F222" s="2" t="s">
        <v>15</v>
      </c>
      <c r="G222" s="2">
        <v>0</v>
      </c>
      <c r="H222" s="2"/>
      <c r="I222" s="2"/>
      <c r="J222" s="16"/>
      <c r="K222" s="16"/>
      <c r="L222" s="16"/>
      <c r="M222" s="16"/>
    </row>
    <row r="223" spans="1:13" ht="14.45" customHeight="1" x14ac:dyDescent="0.25">
      <c r="A223" s="5" t="s">
        <v>629</v>
      </c>
      <c r="B223" s="2">
        <f>VLOOKUP(A223,'Candidatos E-26 ALC'!A225:I574,8,FALSE)</f>
        <v>2397</v>
      </c>
      <c r="C223" s="5" t="s">
        <v>608</v>
      </c>
      <c r="D223" s="5" t="s">
        <v>630</v>
      </c>
      <c r="E223" s="5" t="s">
        <v>63</v>
      </c>
      <c r="F223" s="5" t="s">
        <v>15</v>
      </c>
      <c r="G223" s="5">
        <v>0</v>
      </c>
      <c r="H223" s="5"/>
      <c r="I223" s="5"/>
      <c r="J223" s="17"/>
      <c r="K223" s="17"/>
      <c r="L223" s="17"/>
      <c r="M223" s="17"/>
    </row>
    <row r="224" spans="1:13" ht="14.45" customHeight="1" x14ac:dyDescent="0.25">
      <c r="A224" s="5" t="s">
        <v>620</v>
      </c>
      <c r="B224" s="2">
        <f>VLOOKUP(A224,'Candidatos E-26 ALC'!A221:I570,8,FALSE)</f>
        <v>781</v>
      </c>
      <c r="C224" s="5" t="s">
        <v>608</v>
      </c>
      <c r="D224" s="5" t="s">
        <v>621</v>
      </c>
      <c r="E224" s="5" t="s">
        <v>252</v>
      </c>
      <c r="F224" s="5" t="s">
        <v>15</v>
      </c>
      <c r="G224" s="5">
        <v>0</v>
      </c>
      <c r="H224" s="5"/>
      <c r="I224" s="5"/>
      <c r="J224" s="17"/>
      <c r="K224" s="17"/>
      <c r="L224" s="17"/>
      <c r="M224" s="17"/>
    </row>
    <row r="225" spans="1:13" ht="14.45" customHeight="1" x14ac:dyDescent="0.25">
      <c r="A225" s="5" t="s">
        <v>607</v>
      </c>
      <c r="B225" s="2">
        <f>VLOOKUP(A225,'Candidatos E-26 ALC'!A217:I566,8,FALSE)</f>
        <v>764</v>
      </c>
      <c r="C225" s="5" t="s">
        <v>608</v>
      </c>
      <c r="D225" s="5" t="s">
        <v>611</v>
      </c>
      <c r="E225" s="5" t="s">
        <v>34</v>
      </c>
      <c r="F225" s="5" t="s">
        <v>15</v>
      </c>
      <c r="G225" s="5">
        <v>0</v>
      </c>
      <c r="H225" s="5"/>
      <c r="I225" s="5"/>
      <c r="J225" s="17"/>
      <c r="K225" s="17"/>
      <c r="L225" s="17"/>
      <c r="M225" s="17"/>
    </row>
    <row r="226" spans="1:13" ht="14.45" customHeight="1" x14ac:dyDescent="0.25">
      <c r="A226" s="8" t="s">
        <v>644</v>
      </c>
      <c r="B226" s="2">
        <f>VLOOKUP(A226,'Candidatos E-26 ALC'!A231:I580,8,FALSE)</f>
        <v>82510</v>
      </c>
      <c r="C226" s="8" t="s">
        <v>632</v>
      </c>
      <c r="D226" s="8" t="s">
        <v>645</v>
      </c>
      <c r="E226" s="8" t="s">
        <v>646</v>
      </c>
      <c r="F226" s="8" t="s">
        <v>25</v>
      </c>
      <c r="G226" s="8">
        <v>1</v>
      </c>
      <c r="H226" s="8"/>
      <c r="I226" s="8"/>
      <c r="J226" s="23" t="s">
        <v>1027</v>
      </c>
      <c r="K226" s="23" t="s">
        <v>1025</v>
      </c>
      <c r="L226" s="23" t="s">
        <v>1026</v>
      </c>
      <c r="M226" s="23" t="s">
        <v>1028</v>
      </c>
    </row>
    <row r="227" spans="1:13" ht="14.45" customHeight="1" x14ac:dyDescent="0.25">
      <c r="A227" s="2" t="s">
        <v>631</v>
      </c>
      <c r="B227" s="2">
        <f>VLOOKUP(A227,'Candidatos E-26 ALC'!A226:I575,8,FALSE)</f>
        <v>63869</v>
      </c>
      <c r="C227" s="2" t="s">
        <v>632</v>
      </c>
      <c r="D227" s="2" t="s">
        <v>634</v>
      </c>
      <c r="E227" s="2" t="s">
        <v>635</v>
      </c>
      <c r="F227" s="2" t="s">
        <v>15</v>
      </c>
      <c r="G227" s="2">
        <v>0</v>
      </c>
      <c r="H227" s="2"/>
      <c r="I227" s="2"/>
      <c r="J227" s="23" t="s">
        <v>1066</v>
      </c>
      <c r="K227" s="23" t="s">
        <v>1068</v>
      </c>
      <c r="L227" s="23" t="s">
        <v>1069</v>
      </c>
      <c r="M227" s="23" t="s">
        <v>1067</v>
      </c>
    </row>
    <row r="228" spans="1:13" ht="14.45" customHeight="1" x14ac:dyDescent="0.25">
      <c r="A228" s="2" t="s">
        <v>647</v>
      </c>
      <c r="B228" s="2">
        <f>VLOOKUP(A228,'Candidatos E-26 ALC'!A232:I581,8,FALSE)</f>
        <v>31167</v>
      </c>
      <c r="C228" s="2" t="s">
        <v>632</v>
      </c>
      <c r="D228" s="2" t="s">
        <v>648</v>
      </c>
      <c r="E228" s="2" t="s">
        <v>14</v>
      </c>
      <c r="F228" s="2" t="s">
        <v>15</v>
      </c>
      <c r="G228" s="2">
        <v>0</v>
      </c>
      <c r="H228" s="2"/>
      <c r="I228" s="2"/>
      <c r="J228" s="21" t="s">
        <v>1189</v>
      </c>
      <c r="K228" s="21" t="s">
        <v>1190</v>
      </c>
      <c r="L228" s="21" t="s">
        <v>1191</v>
      </c>
      <c r="M228" s="21" t="s">
        <v>1192</v>
      </c>
    </row>
    <row r="229" spans="1:13" ht="14.45" customHeight="1" x14ac:dyDescent="0.25">
      <c r="A229" s="2" t="s">
        <v>638</v>
      </c>
      <c r="B229" s="2">
        <f>VLOOKUP(A229,'Candidatos E-26 ALC'!A228:I577,8,FALSE)</f>
        <v>13177</v>
      </c>
      <c r="C229" s="2" t="s">
        <v>632</v>
      </c>
      <c r="D229" s="2" t="s">
        <v>639</v>
      </c>
      <c r="E229" s="2" t="s">
        <v>31</v>
      </c>
      <c r="F229" s="2" t="s">
        <v>15</v>
      </c>
      <c r="G229" s="2">
        <v>0</v>
      </c>
      <c r="H229" s="2"/>
      <c r="I229" s="2"/>
      <c r="J229" s="21" t="s">
        <v>1344</v>
      </c>
      <c r="K229" s="21" t="s">
        <v>1346</v>
      </c>
      <c r="L229" s="21" t="s">
        <v>1345</v>
      </c>
      <c r="M229" s="21" t="s">
        <v>1347</v>
      </c>
    </row>
    <row r="230" spans="1:13" ht="14.45" customHeight="1" x14ac:dyDescent="0.25">
      <c r="A230" s="2" t="s">
        <v>642</v>
      </c>
      <c r="B230" s="2">
        <f>VLOOKUP(A230,'Candidatos E-26 ALC'!A230:I579,8,FALSE)</f>
        <v>5851</v>
      </c>
      <c r="C230" s="2" t="s">
        <v>632</v>
      </c>
      <c r="D230" s="2" t="s">
        <v>643</v>
      </c>
      <c r="E230" s="2" t="s">
        <v>144</v>
      </c>
      <c r="F230" s="2" t="s">
        <v>15</v>
      </c>
      <c r="G230" s="2">
        <v>0</v>
      </c>
      <c r="H230" s="2"/>
      <c r="I230" s="2"/>
      <c r="J230" s="16"/>
      <c r="K230" s="16"/>
      <c r="L230" s="16"/>
      <c r="M230" s="16"/>
    </row>
    <row r="231" spans="1:13" ht="14.45" customHeight="1" x14ac:dyDescent="0.25">
      <c r="A231" s="5" t="s">
        <v>636</v>
      </c>
      <c r="B231" s="2">
        <f>VLOOKUP(A231,'Candidatos E-26 ALC'!A227:I576,8,FALSE)</f>
        <v>5270</v>
      </c>
      <c r="C231" s="5" t="s">
        <v>632</v>
      </c>
      <c r="D231" s="5" t="s">
        <v>637</v>
      </c>
      <c r="E231" s="5" t="s">
        <v>43</v>
      </c>
      <c r="F231" s="5" t="s">
        <v>15</v>
      </c>
      <c r="G231" s="5">
        <v>0</v>
      </c>
      <c r="H231" s="5"/>
      <c r="I231" s="5"/>
      <c r="J231" s="17"/>
      <c r="K231" s="17"/>
      <c r="L231" s="17"/>
      <c r="M231" s="17"/>
    </row>
    <row r="232" spans="1:13" ht="14.45" customHeight="1" x14ac:dyDescent="0.25">
      <c r="A232" s="5" t="s">
        <v>640</v>
      </c>
      <c r="B232" s="2">
        <f>VLOOKUP(A232,'Candidatos E-26 ALC'!A229:I578,8,FALSE)</f>
        <v>400</v>
      </c>
      <c r="C232" s="5" t="s">
        <v>632</v>
      </c>
      <c r="D232" s="5" t="s">
        <v>641</v>
      </c>
      <c r="E232" s="5" t="s">
        <v>126</v>
      </c>
      <c r="F232" s="5" t="s">
        <v>15</v>
      </c>
      <c r="G232" s="5">
        <v>0</v>
      </c>
      <c r="H232" s="5"/>
      <c r="I232" s="5"/>
      <c r="J232" s="17"/>
      <c r="K232" s="17"/>
      <c r="L232" s="17"/>
      <c r="M232" s="17"/>
    </row>
    <row r="233" spans="1:13" ht="14.45" customHeight="1" x14ac:dyDescent="0.25">
      <c r="A233" s="8" t="s">
        <v>670</v>
      </c>
      <c r="B233" s="2">
        <f>VLOOKUP(A233,'Candidatos E-26 ALC'!A242:I591,8,FALSE)</f>
        <v>27982</v>
      </c>
      <c r="C233" s="8" t="s">
        <v>650</v>
      </c>
      <c r="D233" s="8" t="s">
        <v>671</v>
      </c>
      <c r="E233" s="8" t="s">
        <v>672</v>
      </c>
      <c r="F233" s="8" t="s">
        <v>25</v>
      </c>
      <c r="G233" s="8">
        <v>1</v>
      </c>
      <c r="H233" s="8" t="s">
        <v>1417</v>
      </c>
      <c r="I233" s="26" t="s">
        <v>1415</v>
      </c>
      <c r="J233" s="23"/>
      <c r="K233" s="18"/>
      <c r="L233" s="18"/>
      <c r="M233" s="23"/>
    </row>
    <row r="234" spans="1:13" ht="14.45" customHeight="1" x14ac:dyDescent="0.25">
      <c r="A234" s="5" t="s">
        <v>677</v>
      </c>
      <c r="B234" s="2">
        <f>VLOOKUP(A234,'Candidatos E-26 ALC'!A245:I594,8,FALSE)</f>
        <v>24205</v>
      </c>
      <c r="C234" s="5" t="s">
        <v>650</v>
      </c>
      <c r="D234" s="5" t="s">
        <v>678</v>
      </c>
      <c r="E234" s="5" t="s">
        <v>679</v>
      </c>
      <c r="F234" s="5" t="s">
        <v>15</v>
      </c>
      <c r="G234" s="5">
        <v>0</v>
      </c>
      <c r="H234" s="5"/>
      <c r="I234" s="5"/>
      <c r="J234" s="22" t="s">
        <v>1244</v>
      </c>
      <c r="K234" s="22" t="s">
        <v>1243</v>
      </c>
      <c r="L234" s="22" t="s">
        <v>1242</v>
      </c>
      <c r="M234" s="22" t="s">
        <v>1241</v>
      </c>
    </row>
    <row r="235" spans="1:13" ht="14.45" customHeight="1" x14ac:dyDescent="0.25">
      <c r="A235" s="2" t="s">
        <v>654</v>
      </c>
      <c r="B235" s="2">
        <f>VLOOKUP(A235,'Candidatos E-26 ALC'!A234:I583,8,FALSE)</f>
        <v>10915</v>
      </c>
      <c r="C235" s="2" t="s">
        <v>650</v>
      </c>
      <c r="D235" s="2" t="s">
        <v>655</v>
      </c>
      <c r="E235" s="2" t="s">
        <v>157</v>
      </c>
      <c r="F235" s="2" t="s">
        <v>15</v>
      </c>
      <c r="G235" s="2">
        <v>0</v>
      </c>
      <c r="H235" s="2"/>
      <c r="I235" s="2"/>
      <c r="J235" s="21" t="s">
        <v>1401</v>
      </c>
      <c r="K235" s="21" t="s">
        <v>1403</v>
      </c>
      <c r="L235" s="21" t="s">
        <v>1402</v>
      </c>
      <c r="M235" s="21" t="s">
        <v>1400</v>
      </c>
    </row>
    <row r="236" spans="1:13" ht="14.45" customHeight="1" x14ac:dyDescent="0.25">
      <c r="A236" s="5" t="s">
        <v>673</v>
      </c>
      <c r="B236" s="2">
        <f>VLOOKUP(A236,'Candidatos E-26 ALC'!A243:I592,8,FALSE)</f>
        <v>5953</v>
      </c>
      <c r="C236" s="5" t="s">
        <v>650</v>
      </c>
      <c r="D236" s="5" t="s">
        <v>674</v>
      </c>
      <c r="E236" s="5" t="s">
        <v>432</v>
      </c>
      <c r="F236" s="5" t="s">
        <v>15</v>
      </c>
      <c r="G236" s="5">
        <v>0</v>
      </c>
      <c r="H236" s="5"/>
      <c r="I236" s="5"/>
      <c r="J236" s="17"/>
      <c r="K236" s="17"/>
      <c r="L236" s="17"/>
      <c r="M236" s="17"/>
    </row>
    <row r="237" spans="1:13" ht="14.45" customHeight="1" x14ac:dyDescent="0.25">
      <c r="A237" s="5" t="s">
        <v>649</v>
      </c>
      <c r="B237" s="2">
        <f>VLOOKUP(A237,'Candidatos E-26 ALC'!A233:I582,8,FALSE)</f>
        <v>3145</v>
      </c>
      <c r="C237" s="5" t="s">
        <v>650</v>
      </c>
      <c r="D237" s="5" t="s">
        <v>652</v>
      </c>
      <c r="E237" s="5" t="s">
        <v>653</v>
      </c>
      <c r="F237" s="5" t="s">
        <v>15</v>
      </c>
      <c r="G237" s="5">
        <v>0</v>
      </c>
      <c r="H237" s="5"/>
      <c r="I237" s="5"/>
      <c r="J237" s="17"/>
      <c r="K237" s="17"/>
      <c r="L237" s="17"/>
      <c r="M237" s="17"/>
    </row>
    <row r="238" spans="1:13" ht="14.45" customHeight="1" x14ac:dyDescent="0.25">
      <c r="A238" s="2" t="s">
        <v>662</v>
      </c>
      <c r="B238" s="2">
        <f>VLOOKUP(A238,'Candidatos E-26 ALC'!A238:I587,8,FALSE)</f>
        <v>1585</v>
      </c>
      <c r="C238" s="2" t="s">
        <v>650</v>
      </c>
      <c r="D238" s="2" t="s">
        <v>663</v>
      </c>
      <c r="E238" s="2" t="s">
        <v>154</v>
      </c>
      <c r="F238" s="2" t="s">
        <v>15</v>
      </c>
      <c r="G238" s="2">
        <v>0</v>
      </c>
      <c r="H238" s="2"/>
      <c r="I238" s="2"/>
      <c r="J238" s="16"/>
      <c r="K238" s="16"/>
      <c r="L238" s="16"/>
      <c r="M238" s="16"/>
    </row>
    <row r="239" spans="1:13" ht="14.45" customHeight="1" x14ac:dyDescent="0.25">
      <c r="A239" s="5" t="s">
        <v>656</v>
      </c>
      <c r="B239" s="2">
        <f>VLOOKUP(A239,'Candidatos E-26 ALC'!A235:I584,8,FALSE)</f>
        <v>1189</v>
      </c>
      <c r="C239" s="5" t="s">
        <v>650</v>
      </c>
      <c r="D239" s="5" t="s">
        <v>657</v>
      </c>
      <c r="E239" s="5" t="s">
        <v>99</v>
      </c>
      <c r="F239" s="5" t="s">
        <v>15</v>
      </c>
      <c r="G239" s="5">
        <v>0</v>
      </c>
      <c r="H239" s="5"/>
      <c r="I239" s="5"/>
      <c r="J239" s="17"/>
      <c r="K239" s="17"/>
      <c r="L239" s="17"/>
      <c r="M239" s="17"/>
    </row>
    <row r="240" spans="1:13" ht="14.45" customHeight="1" x14ac:dyDescent="0.25">
      <c r="A240" s="2" t="s">
        <v>666</v>
      </c>
      <c r="B240" s="2">
        <f>VLOOKUP(A240,'Candidatos E-26 ALC'!A240:I589,8,FALSE)</f>
        <v>1150</v>
      </c>
      <c r="C240" s="2" t="s">
        <v>650</v>
      </c>
      <c r="D240" s="2" t="s">
        <v>667</v>
      </c>
      <c r="E240" s="2" t="s">
        <v>144</v>
      </c>
      <c r="F240" s="2" t="s">
        <v>15</v>
      </c>
      <c r="G240" s="2">
        <v>0</v>
      </c>
      <c r="H240" s="2"/>
      <c r="I240" s="2"/>
      <c r="J240" s="16"/>
      <c r="K240" s="16"/>
      <c r="L240" s="16"/>
      <c r="M240" s="16"/>
    </row>
    <row r="241" spans="1:13" ht="14.45" customHeight="1" x14ac:dyDescent="0.25">
      <c r="A241" s="2" t="s">
        <v>675</v>
      </c>
      <c r="B241" s="2">
        <f>VLOOKUP(A241,'Candidatos E-26 ALC'!A244:I593,8,FALSE)</f>
        <v>867</v>
      </c>
      <c r="C241" s="2" t="s">
        <v>650</v>
      </c>
      <c r="D241" s="2" t="s">
        <v>676</v>
      </c>
      <c r="E241" s="2" t="s">
        <v>63</v>
      </c>
      <c r="F241" s="2" t="s">
        <v>15</v>
      </c>
      <c r="G241" s="2">
        <v>0</v>
      </c>
      <c r="H241" s="2"/>
      <c r="I241" s="2"/>
      <c r="J241" s="16"/>
      <c r="K241" s="16"/>
      <c r="L241" s="16"/>
      <c r="M241" s="16"/>
    </row>
    <row r="242" spans="1:13" ht="14.45" customHeight="1" x14ac:dyDescent="0.25">
      <c r="A242" s="5" t="s">
        <v>660</v>
      </c>
      <c r="B242" s="2">
        <f>VLOOKUP(A242,'Candidatos E-26 ALC'!A237:I586,8,FALSE)</f>
        <v>853</v>
      </c>
      <c r="C242" s="5" t="s">
        <v>650</v>
      </c>
      <c r="D242" s="5" t="s">
        <v>661</v>
      </c>
      <c r="E242" s="5" t="s">
        <v>40</v>
      </c>
      <c r="F242" s="5" t="s">
        <v>15</v>
      </c>
      <c r="G242" s="5">
        <v>0</v>
      </c>
      <c r="H242" s="5"/>
      <c r="I242" s="5"/>
      <c r="J242" s="17"/>
      <c r="K242" s="17"/>
      <c r="L242" s="17"/>
      <c r="M242" s="17"/>
    </row>
    <row r="243" spans="1:13" ht="14.45" customHeight="1" x14ac:dyDescent="0.25">
      <c r="A243" s="2" t="s">
        <v>658</v>
      </c>
      <c r="B243" s="2">
        <f>VLOOKUP(A243,'Candidatos E-26 ALC'!A236:I585,8,FALSE)</f>
        <v>546</v>
      </c>
      <c r="C243" s="2" t="s">
        <v>650</v>
      </c>
      <c r="D243" s="2" t="s">
        <v>659</v>
      </c>
      <c r="E243" s="2" t="s">
        <v>112</v>
      </c>
      <c r="F243" s="2" t="s">
        <v>15</v>
      </c>
      <c r="G243" s="2">
        <v>0</v>
      </c>
      <c r="H243" s="2"/>
      <c r="I243" s="2"/>
      <c r="J243" s="16"/>
      <c r="K243" s="16"/>
      <c r="L243" s="16"/>
      <c r="M243" s="16"/>
    </row>
    <row r="244" spans="1:13" ht="14.45" customHeight="1" x14ac:dyDescent="0.25">
      <c r="A244" s="5" t="s">
        <v>664</v>
      </c>
      <c r="B244" s="2">
        <f>VLOOKUP(A244,'Candidatos E-26 ALC'!A239:I588,8,FALSE)</f>
        <v>305</v>
      </c>
      <c r="C244" s="5" t="s">
        <v>650</v>
      </c>
      <c r="D244" s="5" t="s">
        <v>665</v>
      </c>
      <c r="E244" s="5" t="s">
        <v>126</v>
      </c>
      <c r="F244" s="5" t="s">
        <v>15</v>
      </c>
      <c r="G244" s="5">
        <v>0</v>
      </c>
      <c r="H244" s="5"/>
      <c r="I244" s="5"/>
      <c r="J244" s="17"/>
      <c r="K244" s="17"/>
      <c r="L244" s="17"/>
      <c r="M244" s="17"/>
    </row>
    <row r="245" spans="1:13" ht="14.45" customHeight="1" x14ac:dyDescent="0.25">
      <c r="A245" s="5" t="s">
        <v>668</v>
      </c>
      <c r="B245" s="2">
        <f>VLOOKUP(A245,'Candidatos E-26 ALC'!A241:I590,8,FALSE)</f>
        <v>173</v>
      </c>
      <c r="C245" s="5" t="s">
        <v>650</v>
      </c>
      <c r="D245" s="5" t="s">
        <v>669</v>
      </c>
      <c r="E245" s="5" t="s">
        <v>34</v>
      </c>
      <c r="F245" s="5" t="s">
        <v>15</v>
      </c>
      <c r="G245" s="5">
        <v>0</v>
      </c>
      <c r="H245" s="5"/>
      <c r="I245" s="5"/>
      <c r="J245" s="17"/>
      <c r="K245" s="17"/>
      <c r="L245" s="17"/>
      <c r="M245" s="17"/>
    </row>
    <row r="246" spans="1:13" ht="14.45" customHeight="1" x14ac:dyDescent="0.25">
      <c r="A246" s="8" t="s">
        <v>702</v>
      </c>
      <c r="B246" s="2">
        <f>VLOOKUP(A246,'Candidatos E-26 ALC'!A255:I604,8,FALSE)</f>
        <v>36917</v>
      </c>
      <c r="C246" s="8" t="s">
        <v>681</v>
      </c>
      <c r="D246" s="8" t="s">
        <v>703</v>
      </c>
      <c r="E246" s="8" t="s">
        <v>704</v>
      </c>
      <c r="F246" s="8" t="s">
        <v>25</v>
      </c>
      <c r="G246" s="8">
        <v>1</v>
      </c>
      <c r="H246" s="8"/>
      <c r="I246" s="8"/>
      <c r="J246" s="23" t="s">
        <v>1150</v>
      </c>
      <c r="K246" s="23" t="s">
        <v>1151</v>
      </c>
      <c r="L246" s="23" t="s">
        <v>1152</v>
      </c>
      <c r="M246" s="23" t="s">
        <v>1153</v>
      </c>
    </row>
    <row r="247" spans="1:13" ht="14.45" customHeight="1" x14ac:dyDescent="0.25">
      <c r="A247" s="2" t="s">
        <v>700</v>
      </c>
      <c r="B247" s="2">
        <f>VLOOKUP(A247,'Candidatos E-26 ALC'!A254:I603,8,FALSE)</f>
        <v>36155</v>
      </c>
      <c r="C247" s="2" t="s">
        <v>681</v>
      </c>
      <c r="D247" s="2" t="s">
        <v>701</v>
      </c>
      <c r="E247" s="2" t="s">
        <v>43</v>
      </c>
      <c r="F247" s="2" t="s">
        <v>15</v>
      </c>
      <c r="G247" s="2">
        <v>0</v>
      </c>
      <c r="H247" s="2"/>
      <c r="I247" s="28"/>
      <c r="J247" s="21" t="s">
        <v>1154</v>
      </c>
      <c r="K247" s="19"/>
      <c r="L247" s="21" t="s">
        <v>1156</v>
      </c>
      <c r="M247" s="21" t="s">
        <v>1155</v>
      </c>
    </row>
    <row r="248" spans="1:13" ht="14.45" customHeight="1" x14ac:dyDescent="0.25">
      <c r="A248" s="2" t="s">
        <v>680</v>
      </c>
      <c r="B248" s="2">
        <f>VLOOKUP(A248,'Candidatos E-26 ALC'!A246:I595,8,FALSE)</f>
        <v>30419</v>
      </c>
      <c r="C248" s="2" t="s">
        <v>681</v>
      </c>
      <c r="D248" s="2" t="s">
        <v>684</v>
      </c>
      <c r="E248" s="2" t="s">
        <v>28</v>
      </c>
      <c r="F248" s="2" t="s">
        <v>15</v>
      </c>
      <c r="G248" s="2">
        <v>0</v>
      </c>
      <c r="H248" s="2"/>
      <c r="I248" s="2"/>
      <c r="J248" s="21" t="s">
        <v>1197</v>
      </c>
      <c r="K248" s="16"/>
      <c r="L248" s="21" t="s">
        <v>1198</v>
      </c>
      <c r="M248" s="21" t="s">
        <v>1199</v>
      </c>
    </row>
    <row r="249" spans="1:13" ht="14.45" customHeight="1" x14ac:dyDescent="0.25">
      <c r="A249" s="2" t="s">
        <v>709</v>
      </c>
      <c r="B249" s="2">
        <f>VLOOKUP(A249,'Candidatos E-26 ALC'!A258:I607,8,FALSE)</f>
        <v>8052</v>
      </c>
      <c r="C249" s="2" t="s">
        <v>681</v>
      </c>
      <c r="D249" s="2" t="s">
        <v>710</v>
      </c>
      <c r="E249" s="2" t="s">
        <v>18</v>
      </c>
      <c r="F249" s="2" t="s">
        <v>15</v>
      </c>
      <c r="G249" s="2">
        <v>0</v>
      </c>
      <c r="H249" s="2"/>
      <c r="I249" s="2"/>
      <c r="J249" s="16"/>
      <c r="K249" s="16"/>
      <c r="L249" s="16"/>
      <c r="M249" s="16"/>
    </row>
    <row r="250" spans="1:13" ht="14.45" customHeight="1" x14ac:dyDescent="0.25">
      <c r="A250" s="5" t="s">
        <v>707</v>
      </c>
      <c r="B250" s="2">
        <f>VLOOKUP(A250,'Candidatos E-26 ALC'!A257:I606,8,FALSE)</f>
        <v>4396</v>
      </c>
      <c r="C250" s="5" t="s">
        <v>681</v>
      </c>
      <c r="D250" s="5" t="s">
        <v>708</v>
      </c>
      <c r="E250" s="5" t="s">
        <v>129</v>
      </c>
      <c r="F250" s="5" t="s">
        <v>15</v>
      </c>
      <c r="G250" s="5">
        <v>0</v>
      </c>
      <c r="H250" s="5"/>
      <c r="I250" s="5"/>
      <c r="J250" s="17"/>
      <c r="K250" s="17"/>
      <c r="L250" s="17"/>
      <c r="M250" s="17"/>
    </row>
    <row r="251" spans="1:13" ht="14.45" customHeight="1" x14ac:dyDescent="0.25">
      <c r="A251" s="2" t="s">
        <v>705</v>
      </c>
      <c r="B251" s="2">
        <f>VLOOKUP(A251,'Candidatos E-26 ALC'!A256:I605,8,FALSE)</f>
        <v>3988</v>
      </c>
      <c r="C251" s="2" t="s">
        <v>681</v>
      </c>
      <c r="D251" s="2" t="s">
        <v>706</v>
      </c>
      <c r="E251" s="2" t="s">
        <v>157</v>
      </c>
      <c r="F251" s="2" t="s">
        <v>15</v>
      </c>
      <c r="G251" s="2">
        <v>0</v>
      </c>
      <c r="H251" s="2"/>
      <c r="I251" s="2"/>
      <c r="J251" s="16"/>
      <c r="K251" s="16"/>
      <c r="L251" s="16"/>
      <c r="M251" s="16"/>
    </row>
    <row r="252" spans="1:13" ht="14.45" customHeight="1" x14ac:dyDescent="0.25">
      <c r="A252" s="2" t="s">
        <v>695</v>
      </c>
      <c r="B252" s="2">
        <f>VLOOKUP(A252,'Candidatos E-26 ALC'!A252:I601,8,FALSE)</f>
        <v>3761</v>
      </c>
      <c r="C252" s="2" t="s">
        <v>681</v>
      </c>
      <c r="D252" s="2" t="s">
        <v>696</v>
      </c>
      <c r="E252" s="2" t="s">
        <v>697</v>
      </c>
      <c r="F252" s="2" t="s">
        <v>15</v>
      </c>
      <c r="G252" s="2">
        <v>0</v>
      </c>
      <c r="H252" s="2"/>
      <c r="I252" s="2"/>
      <c r="J252" s="16"/>
      <c r="K252" s="16"/>
      <c r="L252" s="16"/>
      <c r="M252" s="16"/>
    </row>
    <row r="253" spans="1:13" ht="14.45" customHeight="1" x14ac:dyDescent="0.25">
      <c r="A253" s="2" t="s">
        <v>691</v>
      </c>
      <c r="B253" s="2">
        <f>VLOOKUP(A253,'Candidatos E-26 ALC'!A250:I599,8,FALSE)</f>
        <v>2053</v>
      </c>
      <c r="C253" s="2" t="s">
        <v>681</v>
      </c>
      <c r="D253" s="2" t="s">
        <v>692</v>
      </c>
      <c r="E253" s="2" t="s">
        <v>40</v>
      </c>
      <c r="F253" s="2" t="s">
        <v>15</v>
      </c>
      <c r="G253" s="2">
        <v>0</v>
      </c>
      <c r="H253" s="2"/>
      <c r="I253" s="2"/>
      <c r="J253" s="16"/>
      <c r="K253" s="16"/>
      <c r="L253" s="16"/>
      <c r="M253" s="16"/>
    </row>
    <row r="254" spans="1:13" ht="14.45" customHeight="1" x14ac:dyDescent="0.25">
      <c r="A254" s="5" t="s">
        <v>689</v>
      </c>
      <c r="B254" s="2">
        <f>VLOOKUP(A254,'Candidatos E-26 ALC'!A249:I598,8,FALSE)</f>
        <v>980</v>
      </c>
      <c r="C254" s="5" t="s">
        <v>681</v>
      </c>
      <c r="D254" s="5" t="s">
        <v>690</v>
      </c>
      <c r="E254" s="5" t="s">
        <v>14</v>
      </c>
      <c r="F254" s="5" t="s">
        <v>15</v>
      </c>
      <c r="G254" s="5">
        <v>0</v>
      </c>
      <c r="H254" s="5"/>
      <c r="I254" s="5"/>
      <c r="J254" s="17"/>
      <c r="K254" s="17"/>
      <c r="L254" s="17"/>
      <c r="M254" s="17"/>
    </row>
    <row r="255" spans="1:13" ht="14.45" customHeight="1" x14ac:dyDescent="0.25">
      <c r="A255" s="5" t="s">
        <v>685</v>
      </c>
      <c r="B255" s="2">
        <f>VLOOKUP(A255,'Candidatos E-26 ALC'!A247:I596,8,FALSE)</f>
        <v>585</v>
      </c>
      <c r="C255" s="5" t="s">
        <v>681</v>
      </c>
      <c r="D255" s="5" t="s">
        <v>686</v>
      </c>
      <c r="E255" s="5" t="s">
        <v>71</v>
      </c>
      <c r="F255" s="5" t="s">
        <v>15</v>
      </c>
      <c r="G255" s="5">
        <v>0</v>
      </c>
      <c r="H255" s="5"/>
      <c r="I255" s="5"/>
      <c r="J255" s="17"/>
      <c r="K255" s="17"/>
      <c r="L255" s="17"/>
      <c r="M255" s="17"/>
    </row>
    <row r="256" spans="1:13" ht="14.45" customHeight="1" x14ac:dyDescent="0.25">
      <c r="A256" s="5" t="s">
        <v>698</v>
      </c>
      <c r="B256" s="2">
        <f>VLOOKUP(A256,'Candidatos E-26 ALC'!A253:I602,8,FALSE)</f>
        <v>536</v>
      </c>
      <c r="C256" s="5" t="s">
        <v>681</v>
      </c>
      <c r="D256" s="5" t="s">
        <v>699</v>
      </c>
      <c r="E256" s="5" t="s">
        <v>80</v>
      </c>
      <c r="F256" s="5" t="s">
        <v>15</v>
      </c>
      <c r="G256" s="5">
        <v>0</v>
      </c>
      <c r="H256" s="5"/>
      <c r="I256" s="5"/>
      <c r="J256" s="17"/>
      <c r="K256" s="17"/>
      <c r="L256" s="17"/>
      <c r="M256" s="17"/>
    </row>
    <row r="257" spans="1:13" ht="14.45" customHeight="1" x14ac:dyDescent="0.25">
      <c r="A257" s="5" t="s">
        <v>693</v>
      </c>
      <c r="B257" s="2">
        <f>VLOOKUP(A257,'Candidatos E-26 ALC'!A251:I600,8,FALSE)</f>
        <v>451</v>
      </c>
      <c r="C257" s="5" t="s">
        <v>681</v>
      </c>
      <c r="D257" s="5" t="s">
        <v>694</v>
      </c>
      <c r="E257" s="5" t="s">
        <v>99</v>
      </c>
      <c r="F257" s="5" t="s">
        <v>15</v>
      </c>
      <c r="G257" s="5">
        <v>0</v>
      </c>
      <c r="H257" s="5"/>
      <c r="I257" s="5"/>
      <c r="J257" s="17"/>
      <c r="K257" s="17"/>
      <c r="L257" s="17"/>
      <c r="M257" s="17"/>
    </row>
    <row r="258" spans="1:13" ht="14.45" customHeight="1" x14ac:dyDescent="0.25">
      <c r="A258" s="5" t="s">
        <v>711</v>
      </c>
      <c r="B258" s="2">
        <f>VLOOKUP(A258,'Candidatos E-26 ALC'!A259:I608,8,FALSE)</f>
        <v>290</v>
      </c>
      <c r="C258" s="5" t="s">
        <v>681</v>
      </c>
      <c r="D258" s="5" t="s">
        <v>712</v>
      </c>
      <c r="E258" s="5" t="s">
        <v>160</v>
      </c>
      <c r="F258" s="5" t="s">
        <v>15</v>
      </c>
      <c r="G258" s="5">
        <v>0</v>
      </c>
      <c r="H258" s="5"/>
      <c r="I258" s="5"/>
      <c r="J258" s="17"/>
      <c r="K258" s="17"/>
      <c r="L258" s="17"/>
      <c r="M258" s="17"/>
    </row>
    <row r="259" spans="1:13" ht="14.45" customHeight="1" x14ac:dyDescent="0.25">
      <c r="A259" s="2" t="s">
        <v>687</v>
      </c>
      <c r="B259" s="2">
        <f>VLOOKUP(A259,'Candidatos E-26 ALC'!A248:I597,8,FALSE)</f>
        <v>159</v>
      </c>
      <c r="C259" s="2" t="s">
        <v>681</v>
      </c>
      <c r="D259" s="2" t="s">
        <v>688</v>
      </c>
      <c r="E259" s="2" t="s">
        <v>126</v>
      </c>
      <c r="F259" s="2" t="s">
        <v>15</v>
      </c>
      <c r="G259" s="2">
        <v>0</v>
      </c>
      <c r="H259" s="2"/>
      <c r="I259" s="2"/>
      <c r="J259" s="16"/>
      <c r="K259" s="16"/>
      <c r="L259" s="16"/>
      <c r="M259" s="16"/>
    </row>
    <row r="260" spans="1:13" ht="14.45" customHeight="1" x14ac:dyDescent="0.25">
      <c r="A260" s="8" t="s">
        <v>720</v>
      </c>
      <c r="B260" s="2">
        <f>VLOOKUP(A260,'Candidatos E-26 ALC'!A262:I611,8,FALSE)</f>
        <v>30090</v>
      </c>
      <c r="C260" s="8" t="s">
        <v>714</v>
      </c>
      <c r="D260" s="8" t="s">
        <v>721</v>
      </c>
      <c r="E260" s="8" t="s">
        <v>722</v>
      </c>
      <c r="F260" s="8" t="s">
        <v>25</v>
      </c>
      <c r="G260" s="8">
        <v>1</v>
      </c>
      <c r="H260" s="8"/>
      <c r="I260" s="8"/>
      <c r="J260" s="23" t="s">
        <v>1200</v>
      </c>
      <c r="K260" s="23" t="s">
        <v>1201</v>
      </c>
      <c r="L260" s="23" t="s">
        <v>1202</v>
      </c>
      <c r="M260" s="23" t="s">
        <v>1203</v>
      </c>
    </row>
    <row r="261" spans="1:13" ht="14.45" customHeight="1" x14ac:dyDescent="0.25">
      <c r="A261" s="5" t="s">
        <v>728</v>
      </c>
      <c r="B261" s="2">
        <f>VLOOKUP(A261,'Candidatos E-26 ALC'!A265:I614,8,FALSE)</f>
        <v>26833</v>
      </c>
      <c r="C261" s="5" t="s">
        <v>714</v>
      </c>
      <c r="D261" s="5" t="s">
        <v>729</v>
      </c>
      <c r="E261" s="5" t="s">
        <v>730</v>
      </c>
      <c r="F261" s="5" t="s">
        <v>15</v>
      </c>
      <c r="G261" s="5">
        <v>0</v>
      </c>
      <c r="H261" s="5"/>
      <c r="I261" s="5"/>
      <c r="J261" s="22" t="s">
        <v>1223</v>
      </c>
      <c r="K261" s="22" t="s">
        <v>1224</v>
      </c>
      <c r="L261" s="17"/>
      <c r="M261" s="22" t="s">
        <v>1225</v>
      </c>
    </row>
    <row r="262" spans="1:13" ht="14.45" customHeight="1" x14ac:dyDescent="0.25">
      <c r="A262" s="5" t="s">
        <v>723</v>
      </c>
      <c r="B262" s="2">
        <f>VLOOKUP(A262,'Candidatos E-26 ALC'!A263:I612,8,FALSE)</f>
        <v>21198</v>
      </c>
      <c r="C262" s="5" t="s">
        <v>714</v>
      </c>
      <c r="D262" s="5" t="s">
        <v>724</v>
      </c>
      <c r="E262" s="5" t="s">
        <v>725</v>
      </c>
      <c r="F262" s="5" t="s">
        <v>15</v>
      </c>
      <c r="G262" s="5">
        <v>0</v>
      </c>
      <c r="H262" s="5"/>
      <c r="I262" s="5"/>
      <c r="J262" s="22" t="s">
        <v>1276</v>
      </c>
      <c r="K262" s="27" t="s">
        <v>1275</v>
      </c>
      <c r="L262" s="22" t="s">
        <v>1274</v>
      </c>
      <c r="M262" s="22" t="s">
        <v>1273</v>
      </c>
    </row>
    <row r="263" spans="1:13" ht="14.45" customHeight="1" x14ac:dyDescent="0.25">
      <c r="A263" s="5" t="s">
        <v>718</v>
      </c>
      <c r="B263" s="2">
        <f>VLOOKUP(A263,'Candidatos E-26 ALC'!A261:I610,8,FALSE)</f>
        <v>2447</v>
      </c>
      <c r="C263" s="5" t="s">
        <v>714</v>
      </c>
      <c r="D263" s="5" t="s">
        <v>719</v>
      </c>
      <c r="E263" s="5" t="s">
        <v>31</v>
      </c>
      <c r="F263" s="5" t="s">
        <v>15</v>
      </c>
      <c r="G263" s="5">
        <v>0</v>
      </c>
      <c r="H263" s="5"/>
      <c r="I263" s="5"/>
      <c r="J263" s="17"/>
      <c r="K263" s="17"/>
      <c r="L263" s="17"/>
      <c r="M263" s="17"/>
    </row>
    <row r="264" spans="1:13" ht="14.45" customHeight="1" x14ac:dyDescent="0.25">
      <c r="A264" s="2" t="s">
        <v>713</v>
      </c>
      <c r="B264" s="2">
        <f>VLOOKUP(A264,'Candidatos E-26 ALC'!A260:I609,8,FALSE)</f>
        <v>346</v>
      </c>
      <c r="C264" s="2" t="s">
        <v>714</v>
      </c>
      <c r="D264" s="2" t="s">
        <v>717</v>
      </c>
      <c r="E264" s="2" t="s">
        <v>14</v>
      </c>
      <c r="F264" s="2" t="s">
        <v>15</v>
      </c>
      <c r="G264" s="2">
        <v>0</v>
      </c>
      <c r="H264" s="2"/>
      <c r="I264" s="2"/>
      <c r="J264" s="16"/>
      <c r="K264" s="16"/>
      <c r="L264" s="16"/>
      <c r="M264" s="16"/>
    </row>
    <row r="265" spans="1:13" ht="14.45" customHeight="1" x14ac:dyDescent="0.25">
      <c r="A265" s="2" t="s">
        <v>726</v>
      </c>
      <c r="B265" s="2">
        <f>VLOOKUP(A265,'Candidatos E-26 ALC'!A264:I613,8,FALSE)</f>
        <v>218</v>
      </c>
      <c r="C265" s="2" t="s">
        <v>714</v>
      </c>
      <c r="D265" s="2" t="s">
        <v>727</v>
      </c>
      <c r="E265" s="2" t="s">
        <v>154</v>
      </c>
      <c r="F265" s="2" t="s">
        <v>15</v>
      </c>
      <c r="G265" s="2">
        <v>0</v>
      </c>
      <c r="H265" s="2"/>
      <c r="I265" s="2"/>
      <c r="J265" s="16"/>
      <c r="K265" s="16"/>
      <c r="L265" s="16"/>
      <c r="M265" s="16"/>
    </row>
    <row r="266" spans="1:13" ht="14.45" customHeight="1" x14ac:dyDescent="0.25">
      <c r="A266" s="2" t="s">
        <v>731</v>
      </c>
      <c r="B266" s="2">
        <f>VLOOKUP(A266,'Candidatos E-26 ALC'!A266:I615,8,FALSE)</f>
        <v>85504</v>
      </c>
      <c r="C266" s="2" t="s">
        <v>732</v>
      </c>
      <c r="D266" s="2" t="s">
        <v>735</v>
      </c>
      <c r="E266" s="2" t="s">
        <v>80</v>
      </c>
      <c r="F266" s="2" t="s">
        <v>15</v>
      </c>
      <c r="G266" s="2">
        <v>0</v>
      </c>
      <c r="H266" s="2"/>
      <c r="I266" s="2"/>
      <c r="J266" s="23" t="s">
        <v>1016</v>
      </c>
      <c r="K266" s="23" t="s">
        <v>1014</v>
      </c>
      <c r="L266" s="23" t="s">
        <v>1015</v>
      </c>
      <c r="M266" s="23" t="s">
        <v>1013</v>
      </c>
    </row>
    <row r="267" spans="1:13" ht="14.45" customHeight="1" x14ac:dyDescent="0.25">
      <c r="A267" s="8" t="s">
        <v>736</v>
      </c>
      <c r="B267" s="2">
        <f>VLOOKUP(A267,'Candidatos E-26 ALC'!A267:I617,8,FALSE)</f>
        <v>85372</v>
      </c>
      <c r="C267" s="8" t="s">
        <v>732</v>
      </c>
      <c r="D267" s="8" t="s">
        <v>737</v>
      </c>
      <c r="E267" s="8" t="s">
        <v>738</v>
      </c>
      <c r="F267" s="8" t="s">
        <v>25</v>
      </c>
      <c r="G267" s="8">
        <v>1</v>
      </c>
      <c r="H267" s="8"/>
      <c r="I267" s="8"/>
      <c r="J267" s="23" t="s">
        <v>1018</v>
      </c>
      <c r="K267" s="23" t="s">
        <v>1020</v>
      </c>
      <c r="L267" s="23" t="s">
        <v>1017</v>
      </c>
      <c r="M267" s="23" t="s">
        <v>1019</v>
      </c>
    </row>
    <row r="268" spans="1:13" ht="14.45" customHeight="1" x14ac:dyDescent="0.25">
      <c r="A268" s="2" t="s">
        <v>739</v>
      </c>
      <c r="B268" s="2">
        <f>VLOOKUP(A268,'Candidatos E-26 ALC'!A268:I619,8,FALSE)</f>
        <v>16097</v>
      </c>
      <c r="C268" s="2" t="s">
        <v>732</v>
      </c>
      <c r="D268" s="2" t="s">
        <v>740</v>
      </c>
      <c r="E268" s="2" t="s">
        <v>741</v>
      </c>
      <c r="F268" s="2" t="s">
        <v>15</v>
      </c>
      <c r="G268" s="2">
        <v>0</v>
      </c>
      <c r="H268" s="2"/>
      <c r="I268" s="2"/>
      <c r="J268" s="21" t="s">
        <v>1310</v>
      </c>
      <c r="K268" s="16"/>
      <c r="L268" s="16"/>
      <c r="M268" s="16"/>
    </row>
    <row r="269" spans="1:13" ht="14.45" customHeight="1" x14ac:dyDescent="0.25">
      <c r="A269" s="2" t="s">
        <v>742</v>
      </c>
      <c r="B269" s="2">
        <f>VLOOKUP(A269,'Candidatos E-26 ALC'!A270:I621,8,FALSE)</f>
        <v>5729</v>
      </c>
      <c r="C269" s="2" t="s">
        <v>732</v>
      </c>
      <c r="D269" s="2" t="s">
        <v>743</v>
      </c>
      <c r="E269" s="2" t="s">
        <v>31</v>
      </c>
      <c r="F269" s="2" t="s">
        <v>15</v>
      </c>
      <c r="G269" s="2">
        <v>0</v>
      </c>
      <c r="H269" s="2"/>
      <c r="I269" s="2"/>
      <c r="J269" s="16"/>
      <c r="K269" s="16"/>
      <c r="L269" s="16"/>
      <c r="M269" s="16"/>
    </row>
    <row r="270" spans="1:13" ht="14.45" customHeight="1" x14ac:dyDescent="0.25">
      <c r="A270" s="5" t="s">
        <v>742</v>
      </c>
      <c r="B270" s="2">
        <f>VLOOKUP(A270,'Candidatos E-26 ALC'!A271:I622,8,FALSE)</f>
        <v>5729</v>
      </c>
      <c r="C270" s="5" t="s">
        <v>732</v>
      </c>
      <c r="D270" s="5" t="s">
        <v>743</v>
      </c>
      <c r="E270" s="5" t="s">
        <v>31</v>
      </c>
      <c r="F270" s="5" t="s">
        <v>15</v>
      </c>
      <c r="G270" s="5">
        <v>0</v>
      </c>
      <c r="H270" s="5"/>
      <c r="I270" s="5"/>
      <c r="J270" s="17"/>
      <c r="K270" s="17"/>
      <c r="L270" s="17"/>
      <c r="M270" s="17"/>
    </row>
    <row r="271" spans="1:13" ht="14.45" customHeight="1" x14ac:dyDescent="0.25">
      <c r="A271" s="2" t="s">
        <v>744</v>
      </c>
      <c r="B271" s="2">
        <f>VLOOKUP(A271,'Candidatos E-26 ALC'!A272:I623,8,FALSE)</f>
        <v>1871</v>
      </c>
      <c r="C271" s="2" t="s">
        <v>732</v>
      </c>
      <c r="D271" s="2" t="s">
        <v>745</v>
      </c>
      <c r="E271" s="2" t="s">
        <v>37</v>
      </c>
      <c r="F271" s="2" t="s">
        <v>15</v>
      </c>
      <c r="G271" s="2">
        <v>0</v>
      </c>
      <c r="H271" s="2"/>
      <c r="I271" s="2"/>
      <c r="J271" s="16"/>
      <c r="K271" s="16"/>
      <c r="L271" s="16"/>
      <c r="M271" s="16"/>
    </row>
    <row r="272" spans="1:13" ht="14.45" customHeight="1" x14ac:dyDescent="0.25">
      <c r="A272" s="5" t="s">
        <v>744</v>
      </c>
      <c r="B272" s="2">
        <f>VLOOKUP(A272,'Candidatos E-26 ALC'!A273:I624,8,FALSE)</f>
        <v>1871</v>
      </c>
      <c r="C272" s="5" t="s">
        <v>732</v>
      </c>
      <c r="D272" s="5" t="s">
        <v>745</v>
      </c>
      <c r="E272" s="5" t="s">
        <v>37</v>
      </c>
      <c r="F272" s="5" t="s">
        <v>15</v>
      </c>
      <c r="G272" s="5">
        <v>0</v>
      </c>
      <c r="H272" s="5"/>
      <c r="I272" s="5"/>
      <c r="J272" s="17"/>
      <c r="K272" s="17"/>
      <c r="L272" s="17"/>
      <c r="M272" s="17"/>
    </row>
    <row r="273" spans="1:13" ht="14.45" customHeight="1" x14ac:dyDescent="0.25">
      <c r="A273" s="2" t="s">
        <v>746</v>
      </c>
      <c r="B273" s="2">
        <f>VLOOKUP(A273,'Candidatos E-26 ALC'!A274:I625,8,FALSE)</f>
        <v>1400</v>
      </c>
      <c r="C273" s="2" t="s">
        <v>732</v>
      </c>
      <c r="D273" s="2" t="s">
        <v>747</v>
      </c>
      <c r="E273" s="2" t="s">
        <v>748</v>
      </c>
      <c r="F273" s="2" t="s">
        <v>15</v>
      </c>
      <c r="G273" s="2">
        <v>0</v>
      </c>
      <c r="H273" s="2"/>
      <c r="I273" s="2"/>
      <c r="J273" s="16"/>
      <c r="K273" s="16"/>
      <c r="L273" s="16"/>
      <c r="M273" s="16"/>
    </row>
    <row r="274" spans="1:13" ht="14.45" customHeight="1" x14ac:dyDescent="0.25">
      <c r="A274" s="5" t="s">
        <v>746</v>
      </c>
      <c r="B274" s="2">
        <f>VLOOKUP(A274,'Candidatos E-26 ALC'!A275:I626,8,FALSE)</f>
        <v>1400</v>
      </c>
      <c r="C274" s="5" t="s">
        <v>732</v>
      </c>
      <c r="D274" s="5" t="s">
        <v>747</v>
      </c>
      <c r="E274" s="5" t="s">
        <v>748</v>
      </c>
      <c r="F274" s="5" t="s">
        <v>15</v>
      </c>
      <c r="G274" s="5">
        <v>0</v>
      </c>
      <c r="H274" s="5"/>
      <c r="I274" s="5"/>
      <c r="J274" s="17"/>
      <c r="K274" s="17"/>
      <c r="L274" s="17"/>
      <c r="M274" s="17"/>
    </row>
    <row r="275" spans="1:13" ht="14.45" customHeight="1" x14ac:dyDescent="0.25">
      <c r="A275" s="2" t="s">
        <v>749</v>
      </c>
      <c r="B275" s="2">
        <f>VLOOKUP(A275,'Candidatos E-26 ALC'!A276:I627,8,FALSE)</f>
        <v>1361</v>
      </c>
      <c r="C275" s="2" t="s">
        <v>732</v>
      </c>
      <c r="D275" s="2" t="s">
        <v>750</v>
      </c>
      <c r="E275" s="2" t="s">
        <v>14</v>
      </c>
      <c r="F275" s="2" t="s">
        <v>15</v>
      </c>
      <c r="G275" s="2">
        <v>0</v>
      </c>
      <c r="H275" s="2"/>
      <c r="I275" s="2"/>
      <c r="J275" s="16"/>
      <c r="K275" s="16"/>
      <c r="L275" s="16"/>
      <c r="M275" s="16"/>
    </row>
    <row r="276" spans="1:13" ht="14.45" customHeight="1" x14ac:dyDescent="0.25">
      <c r="A276" s="5" t="s">
        <v>749</v>
      </c>
      <c r="B276" s="2">
        <f>VLOOKUP(A276,'Candidatos E-26 ALC'!A277:I628,8,FALSE)</f>
        <v>1361</v>
      </c>
      <c r="C276" s="5" t="s">
        <v>732</v>
      </c>
      <c r="D276" s="5" t="s">
        <v>750</v>
      </c>
      <c r="E276" s="5" t="s">
        <v>14</v>
      </c>
      <c r="F276" s="5" t="s">
        <v>15</v>
      </c>
      <c r="G276" s="5">
        <v>0</v>
      </c>
      <c r="H276" s="5"/>
      <c r="I276" s="5"/>
      <c r="J276" s="17"/>
      <c r="K276" s="17"/>
      <c r="L276" s="17"/>
      <c r="M276" s="17"/>
    </row>
    <row r="277" spans="1:13" ht="14.45" customHeight="1" x14ac:dyDescent="0.25">
      <c r="A277" s="2" t="s">
        <v>751</v>
      </c>
      <c r="B277" s="2">
        <f>VLOOKUP(A277,'Candidatos E-26 ALC'!A278:I629,8,FALSE)</f>
        <v>1192</v>
      </c>
      <c r="C277" s="2" t="s">
        <v>732</v>
      </c>
      <c r="D277" s="2" t="s">
        <v>752</v>
      </c>
      <c r="E277" s="2" t="s">
        <v>34</v>
      </c>
      <c r="F277" s="2" t="s">
        <v>15</v>
      </c>
      <c r="G277" s="2">
        <v>0</v>
      </c>
      <c r="H277" s="2"/>
      <c r="I277" s="2"/>
      <c r="J277" s="16"/>
      <c r="K277" s="16"/>
      <c r="L277" s="16"/>
      <c r="M277" s="16"/>
    </row>
    <row r="278" spans="1:13" ht="14.45" customHeight="1" x14ac:dyDescent="0.25">
      <c r="A278" s="5" t="s">
        <v>751</v>
      </c>
      <c r="B278" s="2">
        <f>VLOOKUP(A278,'Candidatos E-26 ALC'!A279:I630,8,FALSE)</f>
        <v>1192</v>
      </c>
      <c r="C278" s="5" t="s">
        <v>732</v>
      </c>
      <c r="D278" s="5" t="s">
        <v>752</v>
      </c>
      <c r="E278" s="5" t="s">
        <v>34</v>
      </c>
      <c r="F278" s="5" t="s">
        <v>15</v>
      </c>
      <c r="G278" s="5">
        <v>0</v>
      </c>
      <c r="H278" s="5"/>
      <c r="I278" s="5"/>
      <c r="J278" s="17"/>
      <c r="K278" s="17"/>
      <c r="L278" s="17"/>
      <c r="M278" s="17"/>
    </row>
    <row r="279" spans="1:13" ht="14.45" customHeight="1" x14ac:dyDescent="0.25">
      <c r="A279" s="2" t="s">
        <v>753</v>
      </c>
      <c r="B279" s="2">
        <f>VLOOKUP(A279,'Candidatos E-26 ALC'!A280:I631,8,FALSE)</f>
        <v>756</v>
      </c>
      <c r="C279" s="2" t="s">
        <v>732</v>
      </c>
      <c r="D279" s="2" t="s">
        <v>754</v>
      </c>
      <c r="E279" s="2" t="s">
        <v>126</v>
      </c>
      <c r="F279" s="2" t="s">
        <v>15</v>
      </c>
      <c r="G279" s="2">
        <v>0</v>
      </c>
      <c r="H279" s="2"/>
      <c r="I279" s="2"/>
      <c r="J279" s="16"/>
      <c r="K279" s="16"/>
      <c r="L279" s="16"/>
      <c r="M279" s="16"/>
    </row>
    <row r="280" spans="1:13" ht="14.45" customHeight="1" x14ac:dyDescent="0.25">
      <c r="A280" s="5" t="s">
        <v>753</v>
      </c>
      <c r="B280" s="2">
        <f>VLOOKUP(A280,'Candidatos E-26 ALC'!A281:I632,8,FALSE)</f>
        <v>756</v>
      </c>
      <c r="C280" s="5" t="s">
        <v>732</v>
      </c>
      <c r="D280" s="5" t="s">
        <v>754</v>
      </c>
      <c r="E280" s="5" t="s">
        <v>126</v>
      </c>
      <c r="F280" s="5" t="s">
        <v>15</v>
      </c>
      <c r="G280" s="5">
        <v>0</v>
      </c>
      <c r="H280" s="5"/>
      <c r="I280" s="5"/>
      <c r="J280" s="17"/>
      <c r="K280" s="17"/>
      <c r="L280" s="17"/>
      <c r="M280" s="17"/>
    </row>
    <row r="281" spans="1:13" ht="14.45" customHeight="1" x14ac:dyDescent="0.25">
      <c r="A281" s="8" t="s">
        <v>787</v>
      </c>
      <c r="B281" s="2">
        <f>VLOOKUP(A281,'Candidatos E-26 ALC'!A295:I646,8,FALSE)</f>
        <v>78838</v>
      </c>
      <c r="C281" s="8" t="s">
        <v>756</v>
      </c>
      <c r="D281" s="8" t="s">
        <v>788</v>
      </c>
      <c r="E281" s="8" t="s">
        <v>157</v>
      </c>
      <c r="F281" s="8" t="s">
        <v>25</v>
      </c>
      <c r="G281" s="8">
        <v>1</v>
      </c>
      <c r="H281" s="8"/>
      <c r="I281" s="8"/>
      <c r="J281" s="23" t="s">
        <v>1032</v>
      </c>
      <c r="K281" s="23" t="s">
        <v>1030</v>
      </c>
      <c r="L281" s="23" t="s">
        <v>1029</v>
      </c>
      <c r="M281" s="23" t="s">
        <v>1031</v>
      </c>
    </row>
    <row r="282" spans="1:13" ht="14.45" customHeight="1" x14ac:dyDescent="0.25">
      <c r="A282" s="2" t="s">
        <v>762</v>
      </c>
      <c r="B282" s="2">
        <f>VLOOKUP(A282,'Candidatos E-26 ALC'!A284:I635,8,FALSE)</f>
        <v>38152</v>
      </c>
      <c r="C282" s="2" t="s">
        <v>756</v>
      </c>
      <c r="D282" s="2" t="s">
        <v>763</v>
      </c>
      <c r="E282" s="2" t="s">
        <v>18</v>
      </c>
      <c r="F282" s="2" t="s">
        <v>15</v>
      </c>
      <c r="G282" s="2">
        <v>0</v>
      </c>
      <c r="H282" s="2"/>
      <c r="I282" s="2"/>
      <c r="J282" s="21" t="s">
        <v>1129</v>
      </c>
      <c r="K282" s="16"/>
      <c r="L282" s="16"/>
      <c r="M282" s="21" t="s">
        <v>1141</v>
      </c>
    </row>
    <row r="283" spans="1:13" ht="14.45" customHeight="1" x14ac:dyDescent="0.25">
      <c r="A283" s="2" t="s">
        <v>755</v>
      </c>
      <c r="B283" s="2">
        <f>VLOOKUP(A283,'Candidatos E-26 ALC'!A282:I633,8,FALSE)</f>
        <v>12363</v>
      </c>
      <c r="C283" s="2" t="s">
        <v>756</v>
      </c>
      <c r="D283" s="2" t="s">
        <v>759</v>
      </c>
      <c r="E283" s="2" t="s">
        <v>40</v>
      </c>
      <c r="F283" s="2" t="s">
        <v>15</v>
      </c>
      <c r="G283" s="2">
        <v>0</v>
      </c>
      <c r="H283" s="2"/>
      <c r="I283" s="2"/>
      <c r="J283" s="21" t="s">
        <v>1353</v>
      </c>
      <c r="K283" s="16"/>
      <c r="L283" s="16"/>
      <c r="M283" s="21" t="s">
        <v>1366</v>
      </c>
    </row>
    <row r="284" spans="1:13" ht="14.45" customHeight="1" x14ac:dyDescent="0.25">
      <c r="A284" s="5" t="s">
        <v>778</v>
      </c>
      <c r="B284" s="2">
        <f>VLOOKUP(A284,'Candidatos E-26 ALC'!A291:I642,8,FALSE)</f>
        <v>4374</v>
      </c>
      <c r="C284" s="5" t="s">
        <v>756</v>
      </c>
      <c r="D284" s="5" t="s">
        <v>779</v>
      </c>
      <c r="E284" s="5" t="s">
        <v>780</v>
      </c>
      <c r="F284" s="5" t="s">
        <v>15</v>
      </c>
      <c r="G284" s="5">
        <v>0</v>
      </c>
      <c r="H284" s="5"/>
      <c r="I284" s="5"/>
      <c r="J284" s="17"/>
      <c r="K284" s="17"/>
      <c r="L284" s="17"/>
      <c r="M284" s="17"/>
    </row>
    <row r="285" spans="1:13" ht="14.45" customHeight="1" x14ac:dyDescent="0.25">
      <c r="A285" s="2" t="s">
        <v>766</v>
      </c>
      <c r="B285" s="2">
        <f>VLOOKUP(A285,'Candidatos E-26 ALC'!A286:I637,8,FALSE)</f>
        <v>1770</v>
      </c>
      <c r="C285" s="2" t="s">
        <v>756</v>
      </c>
      <c r="D285" s="2" t="s">
        <v>767</v>
      </c>
      <c r="E285" s="2" t="s">
        <v>768</v>
      </c>
      <c r="F285" s="2" t="s">
        <v>15</v>
      </c>
      <c r="G285" s="2">
        <v>0</v>
      </c>
      <c r="H285" s="2"/>
      <c r="I285" s="2"/>
      <c r="J285" s="16"/>
      <c r="K285" s="16"/>
      <c r="L285" s="16"/>
      <c r="M285" s="16"/>
    </row>
    <row r="286" spans="1:13" ht="14.45" customHeight="1" x14ac:dyDescent="0.25">
      <c r="A286" s="5" t="s">
        <v>764</v>
      </c>
      <c r="B286" s="2">
        <f>VLOOKUP(A286,'Candidatos E-26 ALC'!A285:I636,8,FALSE)</f>
        <v>1419</v>
      </c>
      <c r="C286" s="5" t="s">
        <v>756</v>
      </c>
      <c r="D286" s="5" t="s">
        <v>765</v>
      </c>
      <c r="E286" s="5" t="s">
        <v>63</v>
      </c>
      <c r="F286" s="5" t="s">
        <v>15</v>
      </c>
      <c r="G286" s="5">
        <v>0</v>
      </c>
      <c r="H286" s="5"/>
      <c r="I286" s="5"/>
      <c r="J286" s="17"/>
      <c r="K286" s="17"/>
      <c r="L286" s="17"/>
      <c r="M286" s="17"/>
    </row>
    <row r="287" spans="1:13" ht="14.45" customHeight="1" x14ac:dyDescent="0.25">
      <c r="A287" s="2" t="s">
        <v>776</v>
      </c>
      <c r="B287" s="2">
        <f>VLOOKUP(A287,'Candidatos E-26 ALC'!A290:I641,8,FALSE)</f>
        <v>1251</v>
      </c>
      <c r="C287" s="2" t="s">
        <v>756</v>
      </c>
      <c r="D287" s="2" t="s">
        <v>777</v>
      </c>
      <c r="E287" s="2" t="s">
        <v>80</v>
      </c>
      <c r="F287" s="2" t="s">
        <v>15</v>
      </c>
      <c r="G287" s="2">
        <v>0</v>
      </c>
      <c r="H287" s="2"/>
      <c r="I287" s="2"/>
      <c r="J287" s="16"/>
      <c r="K287" s="16"/>
      <c r="L287" s="16"/>
      <c r="M287" s="16"/>
    </row>
    <row r="288" spans="1:13" ht="14.45" customHeight="1" x14ac:dyDescent="0.25">
      <c r="A288" s="2" t="s">
        <v>771</v>
      </c>
      <c r="B288" s="2">
        <f>VLOOKUP(A288,'Candidatos E-26 ALC'!A288:I639,8,FALSE)</f>
        <v>1183</v>
      </c>
      <c r="C288" s="2" t="s">
        <v>756</v>
      </c>
      <c r="D288" s="2" t="s">
        <v>772</v>
      </c>
      <c r="E288" s="2" t="s">
        <v>773</v>
      </c>
      <c r="F288" s="2" t="s">
        <v>15</v>
      </c>
      <c r="G288" s="2">
        <v>0</v>
      </c>
      <c r="H288" s="2"/>
      <c r="I288" s="2"/>
      <c r="J288" s="16"/>
      <c r="K288" s="16"/>
      <c r="L288" s="16"/>
      <c r="M288" s="16"/>
    </row>
    <row r="289" spans="1:13" ht="14.45" customHeight="1" x14ac:dyDescent="0.25">
      <c r="A289" s="5" t="s">
        <v>783</v>
      </c>
      <c r="B289" s="2">
        <f>VLOOKUP(A289,'Candidatos E-26 ALC'!A293:I644,8,FALSE)</f>
        <v>735</v>
      </c>
      <c r="C289" s="5" t="s">
        <v>756</v>
      </c>
      <c r="D289" s="5" t="s">
        <v>784</v>
      </c>
      <c r="E289" s="5" t="s">
        <v>37</v>
      </c>
      <c r="F289" s="5" t="s">
        <v>15</v>
      </c>
      <c r="G289" s="5">
        <v>0</v>
      </c>
      <c r="H289" s="5"/>
      <c r="I289" s="5"/>
      <c r="J289" s="17"/>
      <c r="K289" s="17"/>
      <c r="L289" s="17"/>
      <c r="M289" s="17"/>
    </row>
    <row r="290" spans="1:13" ht="14.45" customHeight="1" x14ac:dyDescent="0.25">
      <c r="A290" s="5" t="s">
        <v>769</v>
      </c>
      <c r="B290" s="2">
        <f>VLOOKUP(A290,'Candidatos E-26 ALC'!A287:I638,8,FALSE)</f>
        <v>646</v>
      </c>
      <c r="C290" s="5" t="s">
        <v>756</v>
      </c>
      <c r="D290" s="5" t="s">
        <v>770</v>
      </c>
      <c r="E290" s="5" t="s">
        <v>31</v>
      </c>
      <c r="F290" s="5" t="s">
        <v>15</v>
      </c>
      <c r="G290" s="5">
        <v>0</v>
      </c>
      <c r="H290" s="5"/>
      <c r="I290" s="5"/>
      <c r="J290" s="17"/>
      <c r="K290" s="17"/>
      <c r="L290" s="17"/>
      <c r="M290" s="17"/>
    </row>
    <row r="291" spans="1:13" ht="14.45" customHeight="1" x14ac:dyDescent="0.25">
      <c r="A291" s="5" t="s">
        <v>760</v>
      </c>
      <c r="B291" s="2">
        <f>VLOOKUP(A291,'Candidatos E-26 ALC'!A283:I634,8,FALSE)</f>
        <v>618</v>
      </c>
      <c r="C291" s="5" t="s">
        <v>756</v>
      </c>
      <c r="D291" s="5" t="s">
        <v>761</v>
      </c>
      <c r="E291" s="5" t="s">
        <v>14</v>
      </c>
      <c r="F291" s="5" t="s">
        <v>15</v>
      </c>
      <c r="G291" s="5">
        <v>0</v>
      </c>
      <c r="H291" s="5"/>
      <c r="I291" s="5"/>
      <c r="J291" s="17"/>
      <c r="K291" s="17"/>
      <c r="L291" s="17"/>
      <c r="M291" s="17"/>
    </row>
    <row r="292" spans="1:13" ht="14.45" customHeight="1" x14ac:dyDescent="0.25">
      <c r="A292" s="2" t="s">
        <v>785</v>
      </c>
      <c r="B292" s="2">
        <f>VLOOKUP(A292,'Candidatos E-26 ALC'!A294:I645,8,FALSE)</f>
        <v>444</v>
      </c>
      <c r="C292" s="2" t="s">
        <v>756</v>
      </c>
      <c r="D292" s="2" t="s">
        <v>786</v>
      </c>
      <c r="E292" s="2" t="s">
        <v>126</v>
      </c>
      <c r="F292" s="2" t="s">
        <v>15</v>
      </c>
      <c r="G292" s="2">
        <v>0</v>
      </c>
      <c r="H292" s="2"/>
      <c r="I292" s="2"/>
      <c r="J292" s="16"/>
      <c r="K292" s="16"/>
      <c r="L292" s="16"/>
      <c r="M292" s="16"/>
    </row>
    <row r="293" spans="1:13" ht="14.45" customHeight="1" x14ac:dyDescent="0.25">
      <c r="A293" s="2" t="s">
        <v>781</v>
      </c>
      <c r="B293" s="2">
        <f>VLOOKUP(A293,'Candidatos E-26 ALC'!A292:I643,8,FALSE)</f>
        <v>177</v>
      </c>
      <c r="C293" s="2" t="s">
        <v>756</v>
      </c>
      <c r="D293" s="2" t="s">
        <v>782</v>
      </c>
      <c r="E293" s="2" t="s">
        <v>137</v>
      </c>
      <c r="F293" s="2" t="s">
        <v>15</v>
      </c>
      <c r="G293" s="2">
        <v>0</v>
      </c>
      <c r="H293" s="2"/>
      <c r="I293" s="2"/>
      <c r="J293" s="16"/>
      <c r="K293" s="16"/>
      <c r="L293" s="16"/>
      <c r="M293" s="16"/>
    </row>
    <row r="294" spans="1:13" ht="14.45" customHeight="1" x14ac:dyDescent="0.25">
      <c r="A294" s="5" t="s">
        <v>774</v>
      </c>
      <c r="B294" s="2">
        <f>VLOOKUP(A294,'Candidatos E-26 ALC'!A289:I640,8,FALSE)</f>
        <v>166</v>
      </c>
      <c r="C294" s="5" t="s">
        <v>756</v>
      </c>
      <c r="D294" s="5" t="s">
        <v>775</v>
      </c>
      <c r="E294" s="5" t="s">
        <v>154</v>
      </c>
      <c r="F294" s="5" t="s">
        <v>15</v>
      </c>
      <c r="G294" s="5">
        <v>0</v>
      </c>
      <c r="H294" s="5"/>
      <c r="I294" s="5"/>
      <c r="J294" s="17"/>
      <c r="K294" s="17"/>
      <c r="L294" s="17"/>
      <c r="M294" s="17"/>
    </row>
    <row r="295" spans="1:13" ht="14.45" customHeight="1" x14ac:dyDescent="0.25">
      <c r="A295" s="8" t="s">
        <v>804</v>
      </c>
      <c r="B295" s="2">
        <f>VLOOKUP(A295,'Candidatos E-26 ALC'!A301:I652,8,FALSE)</f>
        <v>62960</v>
      </c>
      <c r="C295" s="8" t="s">
        <v>790</v>
      </c>
      <c r="D295" s="8" t="s">
        <v>805</v>
      </c>
      <c r="E295" s="8" t="s">
        <v>806</v>
      </c>
      <c r="F295" s="8" t="s">
        <v>25</v>
      </c>
      <c r="G295" s="8">
        <v>1</v>
      </c>
      <c r="H295" s="8"/>
      <c r="I295" s="8"/>
      <c r="J295" s="23" t="s">
        <v>1074</v>
      </c>
      <c r="K295" s="23" t="s">
        <v>1075</v>
      </c>
      <c r="L295" s="23" t="s">
        <v>1077</v>
      </c>
      <c r="M295" s="23" t="s">
        <v>1076</v>
      </c>
    </row>
    <row r="296" spans="1:13" ht="14.45" customHeight="1" x14ac:dyDescent="0.25">
      <c r="A296" s="2" t="s">
        <v>813</v>
      </c>
      <c r="B296" s="2">
        <f>VLOOKUP(A296,'Candidatos E-26 ALC'!A304:I655,8,FALSE)</f>
        <v>53359</v>
      </c>
      <c r="C296" s="2" t="s">
        <v>790</v>
      </c>
      <c r="D296" s="2" t="s">
        <v>814</v>
      </c>
      <c r="E296" s="2" t="s">
        <v>815</v>
      </c>
      <c r="F296" s="2" t="s">
        <v>15</v>
      </c>
      <c r="G296" s="2">
        <v>0</v>
      </c>
      <c r="H296" s="2"/>
      <c r="I296" s="2"/>
      <c r="J296" s="21" t="s">
        <v>1102</v>
      </c>
      <c r="K296" s="21" t="s">
        <v>1103</v>
      </c>
      <c r="L296" s="21" t="s">
        <v>1104</v>
      </c>
      <c r="M296" s="21" t="s">
        <v>1105</v>
      </c>
    </row>
    <row r="297" spans="1:13" ht="14.45" customHeight="1" x14ac:dyDescent="0.25">
      <c r="A297" s="2" t="s">
        <v>807</v>
      </c>
      <c r="B297" s="2">
        <f>VLOOKUP(A297,'Candidatos E-26 ALC'!A302:I653,8,FALSE)</f>
        <v>19497</v>
      </c>
      <c r="C297" s="2" t="s">
        <v>790</v>
      </c>
      <c r="D297" s="2" t="s">
        <v>808</v>
      </c>
      <c r="E297" s="2" t="s">
        <v>809</v>
      </c>
      <c r="F297" s="2" t="s">
        <v>15</v>
      </c>
      <c r="G297" s="2">
        <v>0</v>
      </c>
      <c r="H297" s="2"/>
      <c r="I297" s="2"/>
      <c r="J297" s="21" t="s">
        <v>1288</v>
      </c>
      <c r="K297" s="21" t="s">
        <v>1289</v>
      </c>
      <c r="L297" s="21" t="s">
        <v>1290</v>
      </c>
      <c r="M297" s="21" t="s">
        <v>1291</v>
      </c>
    </row>
    <row r="298" spans="1:13" ht="14.45" customHeight="1" x14ac:dyDescent="0.25">
      <c r="A298" s="5" t="s">
        <v>810</v>
      </c>
      <c r="B298" s="2">
        <f>VLOOKUP(A298,'Candidatos E-26 ALC'!A303:I654,8,FALSE)</f>
        <v>14881</v>
      </c>
      <c r="C298" s="5" t="s">
        <v>790</v>
      </c>
      <c r="D298" s="5" t="s">
        <v>811</v>
      </c>
      <c r="E298" s="5" t="s">
        <v>812</v>
      </c>
      <c r="F298" s="5" t="s">
        <v>15</v>
      </c>
      <c r="G298" s="5">
        <v>0</v>
      </c>
      <c r="H298" s="5"/>
      <c r="I298" s="5"/>
      <c r="J298" s="22" t="s">
        <v>1334</v>
      </c>
      <c r="K298" s="22" t="s">
        <v>1336</v>
      </c>
      <c r="L298" s="22" t="s">
        <v>1337</v>
      </c>
      <c r="M298" s="22" t="s">
        <v>1338</v>
      </c>
    </row>
    <row r="299" spans="1:13" ht="14.45" customHeight="1" x14ac:dyDescent="0.25">
      <c r="A299" s="5" t="s">
        <v>816</v>
      </c>
      <c r="B299" s="2">
        <f>VLOOKUP(A299,'Candidatos E-26 ALC'!A305:I656,8,FALSE)</f>
        <v>1482</v>
      </c>
      <c r="C299" s="5" t="s">
        <v>790</v>
      </c>
      <c r="D299" s="5" t="s">
        <v>817</v>
      </c>
      <c r="E299" s="5" t="s">
        <v>31</v>
      </c>
      <c r="F299" s="5" t="s">
        <v>15</v>
      </c>
      <c r="G299" s="5">
        <v>0</v>
      </c>
      <c r="H299" s="5"/>
      <c r="I299" s="5"/>
      <c r="J299" s="17"/>
      <c r="K299" s="17"/>
      <c r="L299" s="17"/>
      <c r="M299" s="17"/>
    </row>
    <row r="300" spans="1:13" ht="14.45" customHeight="1" x14ac:dyDescent="0.25">
      <c r="A300" s="5" t="s">
        <v>794</v>
      </c>
      <c r="B300" s="2">
        <f>VLOOKUP(A300,'Candidatos E-26 ALC'!A297:I648,8,FALSE)</f>
        <v>1081</v>
      </c>
      <c r="C300" s="5" t="s">
        <v>790</v>
      </c>
      <c r="D300" s="5" t="s">
        <v>795</v>
      </c>
      <c r="E300" s="5" t="s">
        <v>796</v>
      </c>
      <c r="F300" s="5" t="s">
        <v>15</v>
      </c>
      <c r="G300" s="5">
        <v>0</v>
      </c>
      <c r="H300" s="5"/>
      <c r="I300" s="5"/>
      <c r="J300" s="17"/>
      <c r="K300" s="17"/>
      <c r="L300" s="17"/>
      <c r="M300" s="17"/>
    </row>
    <row r="301" spans="1:13" ht="14.45" customHeight="1" x14ac:dyDescent="0.25">
      <c r="A301" s="2" t="s">
        <v>789</v>
      </c>
      <c r="B301" s="2">
        <f>VLOOKUP(A301,'Candidatos E-26 ALC'!A296:I647,8,FALSE)</f>
        <v>0</v>
      </c>
      <c r="C301" s="2" t="s">
        <v>790</v>
      </c>
      <c r="D301" s="2" t="s">
        <v>793</v>
      </c>
      <c r="E301" s="2" t="s">
        <v>71</v>
      </c>
      <c r="F301" s="2" t="s">
        <v>15</v>
      </c>
      <c r="G301" s="2">
        <v>0</v>
      </c>
      <c r="H301" s="2"/>
      <c r="I301" s="2"/>
      <c r="J301" s="16"/>
      <c r="K301" s="16"/>
      <c r="L301" s="16"/>
      <c r="M301" s="16"/>
    </row>
    <row r="302" spans="1:13" ht="14.45" customHeight="1" x14ac:dyDescent="0.25">
      <c r="A302" s="2" t="s">
        <v>797</v>
      </c>
      <c r="B302" s="2">
        <f>VLOOKUP(A302,'Candidatos E-26 ALC'!A298:I649,8,FALSE)</f>
        <v>0</v>
      </c>
      <c r="C302" s="2" t="s">
        <v>790</v>
      </c>
      <c r="D302" s="2" t="s">
        <v>798</v>
      </c>
      <c r="E302" s="2" t="s">
        <v>14</v>
      </c>
      <c r="F302" s="2" t="s">
        <v>15</v>
      </c>
      <c r="G302" s="2">
        <v>0</v>
      </c>
      <c r="H302" s="2"/>
      <c r="I302" s="2"/>
      <c r="J302" s="16"/>
      <c r="K302" s="16"/>
      <c r="L302" s="16"/>
      <c r="M302" s="16"/>
    </row>
    <row r="303" spans="1:13" ht="14.45" customHeight="1" x14ac:dyDescent="0.25">
      <c r="A303" s="5" t="s">
        <v>799</v>
      </c>
      <c r="B303" s="2">
        <f>VLOOKUP(A303,'Candidatos E-26 ALC'!A299:I650,8,FALSE)</f>
        <v>0</v>
      </c>
      <c r="C303" s="5" t="s">
        <v>790</v>
      </c>
      <c r="D303" s="5" t="s">
        <v>800</v>
      </c>
      <c r="E303" s="5" t="s">
        <v>801</v>
      </c>
      <c r="F303" s="5" t="s">
        <v>15</v>
      </c>
      <c r="G303" s="5">
        <v>0</v>
      </c>
      <c r="H303" s="5"/>
      <c r="I303" s="5"/>
      <c r="J303" s="17"/>
      <c r="K303" s="17"/>
      <c r="L303" s="17"/>
      <c r="M303" s="17"/>
    </row>
    <row r="304" spans="1:13" ht="14.45" customHeight="1" x14ac:dyDescent="0.25">
      <c r="A304" s="2" t="s">
        <v>802</v>
      </c>
      <c r="B304" s="2">
        <f>VLOOKUP(A304,'Candidatos E-26 ALC'!A300:I651,8,FALSE)</f>
        <v>0</v>
      </c>
      <c r="C304" s="2" t="s">
        <v>790</v>
      </c>
      <c r="D304" s="2" t="s">
        <v>803</v>
      </c>
      <c r="E304" s="2" t="s">
        <v>80</v>
      </c>
      <c r="F304" s="2" t="s">
        <v>15</v>
      </c>
      <c r="G304" s="2">
        <v>0</v>
      </c>
      <c r="H304" s="2"/>
      <c r="I304" s="2"/>
      <c r="J304" s="16"/>
      <c r="K304" s="16"/>
      <c r="L304" s="16"/>
      <c r="M304" s="16"/>
    </row>
    <row r="305" spans="1:13" ht="14.45" customHeight="1" x14ac:dyDescent="0.25">
      <c r="A305" s="8" t="s">
        <v>832</v>
      </c>
      <c r="B305" s="2">
        <f>VLOOKUP(A305,'Candidatos E-26 ALC'!A312:I663,8,FALSE)</f>
        <v>85145</v>
      </c>
      <c r="C305" s="8" t="s">
        <v>819</v>
      </c>
      <c r="D305" s="8" t="s">
        <v>833</v>
      </c>
      <c r="E305" s="8" t="s">
        <v>834</v>
      </c>
      <c r="F305" s="8" t="s">
        <v>25</v>
      </c>
      <c r="G305" s="8">
        <v>1</v>
      </c>
      <c r="H305" s="8"/>
      <c r="I305" s="8"/>
      <c r="J305" s="23" t="s">
        <v>1021</v>
      </c>
      <c r="K305" s="23" t="s">
        <v>1023</v>
      </c>
      <c r="L305" s="23" t="s">
        <v>1024</v>
      </c>
      <c r="M305" s="23" t="s">
        <v>1022</v>
      </c>
    </row>
    <row r="306" spans="1:13" ht="14.45" customHeight="1" x14ac:dyDescent="0.25">
      <c r="A306" s="2" t="s">
        <v>818</v>
      </c>
      <c r="B306" s="2">
        <f>VLOOKUP(A306,'Candidatos E-26 ALC'!A306:I657,8,FALSE)</f>
        <v>54221</v>
      </c>
      <c r="C306" s="2" t="s">
        <v>819</v>
      </c>
      <c r="D306" s="2" t="s">
        <v>821</v>
      </c>
      <c r="E306" s="2" t="s">
        <v>129</v>
      </c>
      <c r="F306" s="2" t="s">
        <v>15</v>
      </c>
      <c r="G306" s="2">
        <v>0</v>
      </c>
      <c r="H306" s="2"/>
      <c r="I306" s="2"/>
      <c r="J306" s="21" t="s">
        <v>1098</v>
      </c>
      <c r="K306" s="21" t="s">
        <v>1099</v>
      </c>
      <c r="L306" s="21" t="s">
        <v>1100</v>
      </c>
      <c r="M306" s="21" t="s">
        <v>1101</v>
      </c>
    </row>
    <row r="307" spans="1:13" ht="14.45" customHeight="1" x14ac:dyDescent="0.25">
      <c r="A307" s="5" t="s">
        <v>835</v>
      </c>
      <c r="B307" s="2">
        <f>VLOOKUP(A307,'Candidatos E-26 ALC'!A313:I664,8,FALSE)</f>
        <v>26451</v>
      </c>
      <c r="C307" s="5" t="s">
        <v>819</v>
      </c>
      <c r="D307" s="5" t="s">
        <v>836</v>
      </c>
      <c r="E307" s="5" t="s">
        <v>63</v>
      </c>
      <c r="F307" s="5" t="s">
        <v>15</v>
      </c>
      <c r="G307" s="5">
        <v>0</v>
      </c>
      <c r="H307" s="5"/>
      <c r="I307" s="5"/>
      <c r="J307" s="22" t="s">
        <v>1232</v>
      </c>
      <c r="K307" s="22" t="s">
        <v>1231</v>
      </c>
      <c r="L307" s="22" t="s">
        <v>1230</v>
      </c>
      <c r="M307" s="22" t="s">
        <v>1229</v>
      </c>
    </row>
    <row r="308" spans="1:13" ht="14.45" customHeight="1" x14ac:dyDescent="0.25">
      <c r="A308" s="5" t="s">
        <v>830</v>
      </c>
      <c r="B308" s="2">
        <f>VLOOKUP(A308,'Candidatos E-26 ALC'!A311:I662,8,FALSE)</f>
        <v>5215</v>
      </c>
      <c r="C308" s="5" t="s">
        <v>819</v>
      </c>
      <c r="D308" s="5" t="s">
        <v>831</v>
      </c>
      <c r="E308" s="5" t="s">
        <v>37</v>
      </c>
      <c r="F308" s="5" t="s">
        <v>15</v>
      </c>
      <c r="G308" s="5">
        <v>0</v>
      </c>
      <c r="H308" s="5"/>
      <c r="I308" s="5"/>
      <c r="J308" s="17"/>
      <c r="K308" s="17"/>
      <c r="L308" s="17"/>
      <c r="M308" s="17"/>
    </row>
    <row r="309" spans="1:13" ht="14.45" customHeight="1" x14ac:dyDescent="0.25">
      <c r="A309" s="5" t="s">
        <v>826</v>
      </c>
      <c r="B309" s="2">
        <f>VLOOKUP(A309,'Candidatos E-26 ALC'!A309:I660,8,FALSE)</f>
        <v>1502</v>
      </c>
      <c r="C309" s="5" t="s">
        <v>819</v>
      </c>
      <c r="D309" s="5" t="s">
        <v>827</v>
      </c>
      <c r="E309" s="5" t="s">
        <v>137</v>
      </c>
      <c r="F309" s="5" t="s">
        <v>15</v>
      </c>
      <c r="G309" s="5">
        <v>0</v>
      </c>
      <c r="H309" s="5"/>
      <c r="I309" s="5"/>
      <c r="J309" s="17"/>
      <c r="K309" s="17"/>
      <c r="L309" s="17"/>
      <c r="M309" s="17"/>
    </row>
    <row r="310" spans="1:13" ht="14.45" customHeight="1" x14ac:dyDescent="0.25">
      <c r="A310" s="5" t="s">
        <v>822</v>
      </c>
      <c r="B310" s="2">
        <f>VLOOKUP(A310,'Candidatos E-26 ALC'!A307:I658,8,FALSE)</f>
        <v>1367</v>
      </c>
      <c r="C310" s="5" t="s">
        <v>819</v>
      </c>
      <c r="D310" s="5" t="s">
        <v>823</v>
      </c>
      <c r="E310" s="5" t="s">
        <v>18</v>
      </c>
      <c r="F310" s="5" t="s">
        <v>15</v>
      </c>
      <c r="G310" s="5">
        <v>0</v>
      </c>
      <c r="H310" s="5"/>
      <c r="I310" s="5"/>
      <c r="J310" s="17"/>
      <c r="K310" s="17"/>
      <c r="L310" s="17"/>
      <c r="M310" s="17"/>
    </row>
    <row r="311" spans="1:13" ht="14.45" customHeight="1" x14ac:dyDescent="0.25">
      <c r="A311" s="2" t="s">
        <v>837</v>
      </c>
      <c r="B311" s="2">
        <f>VLOOKUP(A311,'Candidatos E-26 ALC'!A314:I665,8,FALSE)</f>
        <v>1227</v>
      </c>
      <c r="C311" s="2" t="s">
        <v>819</v>
      </c>
      <c r="D311" s="2" t="s">
        <v>838</v>
      </c>
      <c r="E311" s="2" t="s">
        <v>243</v>
      </c>
      <c r="F311" s="2" t="s">
        <v>15</v>
      </c>
      <c r="G311" s="2">
        <v>0</v>
      </c>
      <c r="H311" s="2"/>
      <c r="I311" s="2"/>
      <c r="J311" s="16"/>
      <c r="K311" s="16"/>
      <c r="L311" s="16"/>
      <c r="M311" s="16"/>
    </row>
    <row r="312" spans="1:13" ht="14.45" customHeight="1" x14ac:dyDescent="0.25">
      <c r="A312" s="2" t="s">
        <v>841</v>
      </c>
      <c r="B312" s="2">
        <f>VLOOKUP(A312,'Candidatos E-26 ALC'!A316:I667,8,FALSE)</f>
        <v>1221</v>
      </c>
      <c r="C312" s="2" t="s">
        <v>819</v>
      </c>
      <c r="D312" s="2" t="s">
        <v>842</v>
      </c>
      <c r="E312" s="2" t="s">
        <v>144</v>
      </c>
      <c r="F312" s="2" t="s">
        <v>15</v>
      </c>
      <c r="G312" s="2">
        <v>0</v>
      </c>
      <c r="H312" s="2"/>
      <c r="I312" s="2"/>
      <c r="J312" s="16"/>
      <c r="K312" s="16"/>
      <c r="L312" s="16"/>
      <c r="M312" s="16"/>
    </row>
    <row r="313" spans="1:13" ht="14.45" customHeight="1" x14ac:dyDescent="0.25">
      <c r="A313" s="2" t="s">
        <v>828</v>
      </c>
      <c r="B313" s="2">
        <f>VLOOKUP(A313,'Candidatos E-26 ALC'!A310:I661,8,FALSE)</f>
        <v>614</v>
      </c>
      <c r="C313" s="2" t="s">
        <v>819</v>
      </c>
      <c r="D313" s="2" t="s">
        <v>829</v>
      </c>
      <c r="E313" s="2" t="s">
        <v>14</v>
      </c>
      <c r="F313" s="2" t="s">
        <v>15</v>
      </c>
      <c r="G313" s="2">
        <v>0</v>
      </c>
      <c r="H313" s="2"/>
      <c r="I313" s="2"/>
      <c r="J313" s="16"/>
      <c r="K313" s="16"/>
      <c r="L313" s="16"/>
      <c r="M313" s="16"/>
    </row>
    <row r="314" spans="1:13" ht="14.45" customHeight="1" x14ac:dyDescent="0.25">
      <c r="A314" s="2" t="s">
        <v>824</v>
      </c>
      <c r="B314" s="2">
        <f>VLOOKUP(A314,'Candidatos E-26 ALC'!A308:I659,8,FALSE)</f>
        <v>484</v>
      </c>
      <c r="C314" s="2" t="s">
        <v>819</v>
      </c>
      <c r="D314" s="2" t="s">
        <v>825</v>
      </c>
      <c r="E314" s="2" t="s">
        <v>40</v>
      </c>
      <c r="F314" s="2" t="s">
        <v>15</v>
      </c>
      <c r="G314" s="2">
        <v>0</v>
      </c>
      <c r="H314" s="2"/>
      <c r="I314" s="2"/>
      <c r="J314" s="16"/>
      <c r="K314" s="16"/>
      <c r="L314" s="16"/>
      <c r="M314" s="16"/>
    </row>
    <row r="315" spans="1:13" ht="14.45" customHeight="1" x14ac:dyDescent="0.25">
      <c r="A315" s="5" t="s">
        <v>839</v>
      </c>
      <c r="B315" s="2">
        <f>VLOOKUP(A315,'Candidatos E-26 ALC'!A315:I666,8,FALSE)</f>
        <v>320</v>
      </c>
      <c r="C315" s="5" t="s">
        <v>819</v>
      </c>
      <c r="D315" s="5" t="s">
        <v>840</v>
      </c>
      <c r="E315" s="5" t="s">
        <v>252</v>
      </c>
      <c r="F315" s="5" t="s">
        <v>15</v>
      </c>
      <c r="G315" s="5">
        <v>0</v>
      </c>
      <c r="H315" s="5"/>
      <c r="I315" s="5"/>
      <c r="J315" s="17"/>
      <c r="K315" s="17"/>
      <c r="L315" s="17"/>
      <c r="M315" s="17"/>
    </row>
    <row r="316" spans="1:13" ht="14.45" customHeight="1" x14ac:dyDescent="0.25">
      <c r="A316" s="8" t="s">
        <v>865</v>
      </c>
      <c r="B316" s="2">
        <f>VLOOKUP(A316,'Candidatos E-26 ALC'!A325:I676,8,FALSE)</f>
        <v>27338</v>
      </c>
      <c r="C316" s="8" t="s">
        <v>844</v>
      </c>
      <c r="D316" s="8" t="s">
        <v>866</v>
      </c>
      <c r="E316" s="8" t="s">
        <v>74</v>
      </c>
      <c r="F316" s="8" t="s">
        <v>25</v>
      </c>
      <c r="G316" s="8">
        <v>1</v>
      </c>
      <c r="H316" s="8"/>
      <c r="I316" s="8"/>
      <c r="J316" s="23" t="s">
        <v>1219</v>
      </c>
      <c r="K316" s="23" t="s">
        <v>1216</v>
      </c>
      <c r="L316" s="23" t="s">
        <v>1218</v>
      </c>
      <c r="M316" s="23" t="s">
        <v>1217</v>
      </c>
    </row>
    <row r="317" spans="1:13" ht="14.45" customHeight="1" x14ac:dyDescent="0.25">
      <c r="A317" s="2" t="s">
        <v>862</v>
      </c>
      <c r="B317" s="2">
        <f>VLOOKUP(A317,'Candidatos E-26 ALC'!A324:I675,8,FALSE)</f>
        <v>18782</v>
      </c>
      <c r="C317" s="2" t="s">
        <v>844</v>
      </c>
      <c r="D317" s="2" t="s">
        <v>863</v>
      </c>
      <c r="E317" s="2" t="s">
        <v>864</v>
      </c>
      <c r="F317" s="2" t="s">
        <v>15</v>
      </c>
      <c r="G317" s="2">
        <v>0</v>
      </c>
      <c r="H317" s="2"/>
      <c r="I317" s="2"/>
      <c r="J317" s="21" t="s">
        <v>1308</v>
      </c>
      <c r="K317" s="21" t="s">
        <v>1309</v>
      </c>
      <c r="L317" s="16"/>
      <c r="M317" s="16"/>
    </row>
    <row r="318" spans="1:13" ht="14.45" customHeight="1" x14ac:dyDescent="0.25">
      <c r="A318" s="5" t="s">
        <v>843</v>
      </c>
      <c r="B318" s="2">
        <f>VLOOKUP(A318,'Candidatos E-26 ALC'!A317:I668,8,FALSE)</f>
        <v>11661</v>
      </c>
      <c r="C318" s="5" t="s">
        <v>844</v>
      </c>
      <c r="D318" s="5" t="s">
        <v>847</v>
      </c>
      <c r="E318" s="5" t="s">
        <v>848</v>
      </c>
      <c r="F318" s="5" t="s">
        <v>15</v>
      </c>
      <c r="G318" s="5">
        <v>0</v>
      </c>
      <c r="H318" s="5"/>
      <c r="I318" s="5"/>
      <c r="J318" s="22" t="s">
        <v>1383</v>
      </c>
      <c r="K318" s="22" t="s">
        <v>1384</v>
      </c>
      <c r="L318" s="22" t="s">
        <v>1385</v>
      </c>
      <c r="M318" s="22" t="s">
        <v>1386</v>
      </c>
    </row>
    <row r="319" spans="1:13" ht="14.45" customHeight="1" x14ac:dyDescent="0.25">
      <c r="A319" s="5" t="s">
        <v>860</v>
      </c>
      <c r="B319" s="2">
        <f>VLOOKUP(A319,'Candidatos E-26 ALC'!A323:I674,8,FALSE)</f>
        <v>8967</v>
      </c>
      <c r="C319" s="5" t="s">
        <v>844</v>
      </c>
      <c r="D319" s="5" t="s">
        <v>861</v>
      </c>
      <c r="E319" s="5" t="s">
        <v>129</v>
      </c>
      <c r="F319" s="5" t="s">
        <v>15</v>
      </c>
      <c r="G319" s="5">
        <v>0</v>
      </c>
      <c r="H319" s="5"/>
      <c r="I319" s="5"/>
      <c r="J319" s="17"/>
      <c r="K319" s="17"/>
      <c r="L319" s="17"/>
      <c r="M319" s="17"/>
    </row>
    <row r="320" spans="1:13" ht="14.45" customHeight="1" x14ac:dyDescent="0.25">
      <c r="A320" s="2" t="s">
        <v>857</v>
      </c>
      <c r="B320" s="2">
        <f>VLOOKUP(A320,'Candidatos E-26 ALC'!A322:I673,8,FALSE)</f>
        <v>7195</v>
      </c>
      <c r="C320" s="2" t="s">
        <v>844</v>
      </c>
      <c r="D320" s="2" t="s">
        <v>858</v>
      </c>
      <c r="E320" s="2" t="s">
        <v>859</v>
      </c>
      <c r="F320" s="2" t="s">
        <v>15</v>
      </c>
      <c r="G320" s="2">
        <v>0</v>
      </c>
      <c r="H320" s="2"/>
      <c r="I320" s="2"/>
      <c r="J320" s="16"/>
      <c r="K320" s="16"/>
      <c r="L320" s="16"/>
      <c r="M320" s="16"/>
    </row>
    <row r="321" spans="1:13" ht="14.45" customHeight="1" x14ac:dyDescent="0.25">
      <c r="A321" s="5" t="s">
        <v>855</v>
      </c>
      <c r="B321" s="2">
        <f>VLOOKUP(A321,'Candidatos E-26 ALC'!A321:I672,8,FALSE)</f>
        <v>6035</v>
      </c>
      <c r="C321" s="5" t="s">
        <v>844</v>
      </c>
      <c r="D321" s="5" t="s">
        <v>856</v>
      </c>
      <c r="E321" s="5" t="s">
        <v>43</v>
      </c>
      <c r="F321" s="5" t="s">
        <v>15</v>
      </c>
      <c r="G321" s="5">
        <v>0</v>
      </c>
      <c r="H321" s="5"/>
      <c r="I321" s="5"/>
      <c r="J321" s="17"/>
      <c r="K321" s="17"/>
      <c r="L321" s="17"/>
      <c r="M321" s="17"/>
    </row>
    <row r="322" spans="1:13" ht="14.45" customHeight="1" x14ac:dyDescent="0.25">
      <c r="A322" s="2" t="s">
        <v>853</v>
      </c>
      <c r="B322" s="2">
        <f>VLOOKUP(A322,'Candidatos E-26 ALC'!A320:I671,8,FALSE)</f>
        <v>999</v>
      </c>
      <c r="C322" s="2" t="s">
        <v>844</v>
      </c>
      <c r="D322" s="2" t="s">
        <v>854</v>
      </c>
      <c r="E322" s="2" t="s">
        <v>80</v>
      </c>
      <c r="F322" s="2" t="s">
        <v>15</v>
      </c>
      <c r="G322" s="2">
        <v>0</v>
      </c>
      <c r="H322" s="2"/>
      <c r="I322" s="2"/>
      <c r="J322" s="16"/>
      <c r="K322" s="16"/>
      <c r="L322" s="16"/>
      <c r="M322" s="16"/>
    </row>
    <row r="323" spans="1:13" ht="14.45" customHeight="1" x14ac:dyDescent="0.25">
      <c r="A323" s="2" t="s">
        <v>849</v>
      </c>
      <c r="B323" s="2">
        <f>VLOOKUP(A323,'Candidatos E-26 ALC'!A318:I669,8,FALSE)</f>
        <v>192</v>
      </c>
      <c r="C323" s="2" t="s">
        <v>844</v>
      </c>
      <c r="D323" s="2" t="s">
        <v>850</v>
      </c>
      <c r="E323" s="2" t="s">
        <v>160</v>
      </c>
      <c r="F323" s="2" t="s">
        <v>15</v>
      </c>
      <c r="G323" s="2">
        <v>0</v>
      </c>
      <c r="H323" s="2"/>
      <c r="I323" s="2"/>
      <c r="J323" s="16"/>
      <c r="K323" s="16"/>
      <c r="L323" s="16"/>
      <c r="M323" s="16"/>
    </row>
    <row r="324" spans="1:13" ht="14.45" customHeight="1" x14ac:dyDescent="0.25">
      <c r="A324" s="5" t="s">
        <v>851</v>
      </c>
      <c r="B324" s="2">
        <f>VLOOKUP(A324,'Candidatos E-26 ALC'!A319:I670,8,FALSE)</f>
        <v>0</v>
      </c>
      <c r="C324" s="5" t="s">
        <v>844</v>
      </c>
      <c r="D324" s="5" t="s">
        <v>852</v>
      </c>
      <c r="E324" s="5" t="s">
        <v>112</v>
      </c>
      <c r="F324" s="5" t="s">
        <v>15</v>
      </c>
      <c r="G324" s="5">
        <v>0</v>
      </c>
      <c r="H324" s="5"/>
      <c r="I324" s="5"/>
      <c r="J324" s="17"/>
      <c r="K324" s="17"/>
      <c r="L324" s="17"/>
      <c r="M324" s="17"/>
    </row>
    <row r="325" spans="1:13" ht="14.45" customHeight="1" x14ac:dyDescent="0.25">
      <c r="A325" s="8" t="s">
        <v>882</v>
      </c>
      <c r="B325" s="2">
        <f>VLOOKUP(A325,'Candidatos E-26 ALC'!A332:I683,8,FALSE)</f>
        <v>71590</v>
      </c>
      <c r="C325" s="8" t="s">
        <v>868</v>
      </c>
      <c r="D325" s="8" t="s">
        <v>883</v>
      </c>
      <c r="E325" s="8" t="s">
        <v>884</v>
      </c>
      <c r="F325" s="8" t="s">
        <v>25</v>
      </c>
      <c r="G325" s="8">
        <v>1</v>
      </c>
      <c r="H325" s="8"/>
      <c r="I325" s="8"/>
      <c r="J325" s="23" t="s">
        <v>1046</v>
      </c>
      <c r="K325" s="23" t="s">
        <v>1047</v>
      </c>
      <c r="L325" s="23" t="s">
        <v>1045</v>
      </c>
      <c r="M325" s="23" t="s">
        <v>1048</v>
      </c>
    </row>
    <row r="326" spans="1:13" ht="14.45" customHeight="1" x14ac:dyDescent="0.25">
      <c r="A326" s="2" t="s">
        <v>878</v>
      </c>
      <c r="B326" s="2">
        <f>VLOOKUP(A326,'Candidatos E-26 ALC'!A330:I681,8,FALSE)</f>
        <v>25715</v>
      </c>
      <c r="C326" s="2" t="s">
        <v>868</v>
      </c>
      <c r="D326" s="2" t="s">
        <v>879</v>
      </c>
      <c r="E326" s="2" t="s">
        <v>18</v>
      </c>
      <c r="F326" s="2" t="s">
        <v>15</v>
      </c>
      <c r="G326" s="2">
        <v>0</v>
      </c>
      <c r="H326" s="2"/>
      <c r="I326" s="2"/>
      <c r="J326" s="21" t="s">
        <v>1233</v>
      </c>
      <c r="K326" s="21" t="s">
        <v>1234</v>
      </c>
      <c r="L326" s="21" t="s">
        <v>1235</v>
      </c>
      <c r="M326" s="21" t="s">
        <v>1236</v>
      </c>
    </row>
    <row r="327" spans="1:13" ht="14.45" customHeight="1" x14ac:dyDescent="0.25">
      <c r="A327" s="5" t="s">
        <v>885</v>
      </c>
      <c r="B327" s="2">
        <f>VLOOKUP(A327,'Candidatos E-26 ALC'!A333:I684,8,FALSE)</f>
        <v>21413</v>
      </c>
      <c r="C327" s="5" t="s">
        <v>868</v>
      </c>
      <c r="D327" s="5" t="s">
        <v>886</v>
      </c>
      <c r="E327" s="5" t="s">
        <v>887</v>
      </c>
      <c r="F327" s="5" t="s">
        <v>15</v>
      </c>
      <c r="G327" s="5">
        <v>0</v>
      </c>
      <c r="H327" s="5"/>
      <c r="I327" s="5"/>
      <c r="J327" s="22" t="s">
        <v>1269</v>
      </c>
      <c r="K327" s="22" t="s">
        <v>1270</v>
      </c>
      <c r="L327" s="22" t="s">
        <v>1271</v>
      </c>
      <c r="M327" s="22" t="s">
        <v>1272</v>
      </c>
    </row>
    <row r="328" spans="1:13" ht="14.45" customHeight="1" x14ac:dyDescent="0.25">
      <c r="A328" s="5" t="s">
        <v>880</v>
      </c>
      <c r="B328" s="2">
        <f>VLOOKUP(A328,'Candidatos E-26 ALC'!A331:I682,8,FALSE)</f>
        <v>19339</v>
      </c>
      <c r="C328" s="5" t="s">
        <v>868</v>
      </c>
      <c r="D328" s="5" t="s">
        <v>881</v>
      </c>
      <c r="E328" s="5" t="s">
        <v>52</v>
      </c>
      <c r="F328" s="5" t="s">
        <v>15</v>
      </c>
      <c r="G328" s="5">
        <v>0</v>
      </c>
      <c r="H328" s="5"/>
      <c r="I328" s="5"/>
      <c r="J328" s="22" t="s">
        <v>1292</v>
      </c>
      <c r="K328" s="22" t="s">
        <v>1294</v>
      </c>
      <c r="L328" s="22" t="s">
        <v>1295</v>
      </c>
      <c r="M328" s="22" t="s">
        <v>1293</v>
      </c>
    </row>
    <row r="329" spans="1:13" ht="14.45" customHeight="1" x14ac:dyDescent="0.25">
      <c r="A329" s="5" t="s">
        <v>872</v>
      </c>
      <c r="B329" s="2">
        <f>VLOOKUP(A329,'Candidatos E-26 ALC'!A327:I678,8,FALSE)</f>
        <v>11003</v>
      </c>
      <c r="C329" s="5" t="s">
        <v>868</v>
      </c>
      <c r="D329" s="5" t="s">
        <v>873</v>
      </c>
      <c r="E329" s="5" t="s">
        <v>43</v>
      </c>
      <c r="F329" s="5" t="s">
        <v>15</v>
      </c>
      <c r="G329" s="5">
        <v>0</v>
      </c>
      <c r="H329" s="5"/>
      <c r="I329" s="5"/>
      <c r="J329" s="22" t="s">
        <v>1396</v>
      </c>
      <c r="K329" s="22" t="s">
        <v>1397</v>
      </c>
      <c r="L329" s="22" t="s">
        <v>1398</v>
      </c>
      <c r="M329" s="22" t="s">
        <v>1399</v>
      </c>
    </row>
    <row r="330" spans="1:13" ht="14.45" customHeight="1" x14ac:dyDescent="0.25">
      <c r="A330" s="2" t="s">
        <v>867</v>
      </c>
      <c r="B330" s="2">
        <f>VLOOKUP(A330,'Candidatos E-26 ALC'!A326:I677,8,FALSE)</f>
        <v>10313</v>
      </c>
      <c r="C330" s="2" t="s">
        <v>868</v>
      </c>
      <c r="D330" s="2" t="s">
        <v>871</v>
      </c>
      <c r="E330" s="2" t="s">
        <v>31</v>
      </c>
      <c r="F330" s="2" t="s">
        <v>15</v>
      </c>
      <c r="G330" s="2">
        <v>0</v>
      </c>
      <c r="H330" s="2"/>
      <c r="I330" s="2"/>
      <c r="J330" s="16"/>
      <c r="K330" s="16"/>
      <c r="L330" s="16"/>
      <c r="M330" s="16"/>
    </row>
    <row r="331" spans="1:13" ht="14.45" customHeight="1" x14ac:dyDescent="0.25">
      <c r="A331" s="5" t="s">
        <v>890</v>
      </c>
      <c r="B331" s="2">
        <f>VLOOKUP(A331,'Candidatos E-26 ALC'!A335:I686,8,FALSE)</f>
        <v>5799</v>
      </c>
      <c r="C331" s="5" t="s">
        <v>868</v>
      </c>
      <c r="D331" s="5" t="s">
        <v>891</v>
      </c>
      <c r="E331" s="5" t="s">
        <v>892</v>
      </c>
      <c r="F331" s="5" t="s">
        <v>15</v>
      </c>
      <c r="G331" s="5">
        <v>0</v>
      </c>
      <c r="H331" s="5"/>
      <c r="I331" s="5"/>
      <c r="J331" s="17"/>
      <c r="K331" s="17"/>
      <c r="L331" s="17"/>
      <c r="M331" s="17"/>
    </row>
    <row r="332" spans="1:13" ht="14.45" customHeight="1" x14ac:dyDescent="0.25">
      <c r="A332" s="2" t="s">
        <v>888</v>
      </c>
      <c r="B332" s="2">
        <f>VLOOKUP(A332,'Candidatos E-26 ALC'!A334:I685,8,FALSE)</f>
        <v>2027</v>
      </c>
      <c r="C332" s="2" t="s">
        <v>868</v>
      </c>
      <c r="D332" s="2" t="s">
        <v>889</v>
      </c>
      <c r="E332" s="2" t="s">
        <v>63</v>
      </c>
      <c r="F332" s="2" t="s">
        <v>15</v>
      </c>
      <c r="G332" s="2">
        <v>0</v>
      </c>
      <c r="H332" s="2"/>
      <c r="I332" s="2"/>
      <c r="J332" s="19"/>
      <c r="K332" s="19"/>
      <c r="L332" s="16"/>
      <c r="M332" s="16"/>
    </row>
    <row r="333" spans="1:13" ht="14.45" customHeight="1" x14ac:dyDescent="0.25">
      <c r="A333" s="5" t="s">
        <v>876</v>
      </c>
      <c r="B333" s="2">
        <f>VLOOKUP(A333,'Candidatos E-26 ALC'!A329:I680,8,FALSE)</f>
        <v>171</v>
      </c>
      <c r="C333" s="5" t="s">
        <v>868</v>
      </c>
      <c r="D333" s="5" t="s">
        <v>877</v>
      </c>
      <c r="E333" s="5" t="s">
        <v>40</v>
      </c>
      <c r="F333" s="5" t="s">
        <v>15</v>
      </c>
      <c r="G333" s="5">
        <v>0</v>
      </c>
      <c r="H333" s="5"/>
      <c r="I333" s="5"/>
      <c r="J333" s="17"/>
      <c r="K333" s="17"/>
      <c r="L333" s="17"/>
      <c r="M333" s="17"/>
    </row>
    <row r="334" spans="1:13" ht="14.45" customHeight="1" x14ac:dyDescent="0.25">
      <c r="A334" s="2" t="s">
        <v>874</v>
      </c>
      <c r="B334" s="2">
        <f>VLOOKUP(A334,'Candidatos E-26 ALC'!A328:I679,8,FALSE)</f>
        <v>14</v>
      </c>
      <c r="C334" s="2" t="s">
        <v>868</v>
      </c>
      <c r="D334" s="2" t="s">
        <v>875</v>
      </c>
      <c r="E334" s="2" t="s">
        <v>160</v>
      </c>
      <c r="F334" s="2" t="s">
        <v>15</v>
      </c>
      <c r="G334" s="2">
        <v>0</v>
      </c>
      <c r="H334" s="2"/>
      <c r="I334" s="2"/>
      <c r="J334" s="16"/>
      <c r="K334" s="16"/>
      <c r="L334" s="16"/>
      <c r="M334" s="16"/>
    </row>
    <row r="335" spans="1:13" ht="14.45" customHeight="1" x14ac:dyDescent="0.25">
      <c r="A335" s="8" t="s">
        <v>906</v>
      </c>
      <c r="B335" s="2">
        <f>VLOOKUP(A335,'Candidatos E-26 ALC'!A340:I691,8,FALSE)</f>
        <v>70987</v>
      </c>
      <c r="C335" s="8" t="s">
        <v>894</v>
      </c>
      <c r="D335" s="8" t="s">
        <v>907</v>
      </c>
      <c r="E335" s="8" t="s">
        <v>908</v>
      </c>
      <c r="F335" s="8" t="s">
        <v>25</v>
      </c>
      <c r="G335" s="8">
        <v>1</v>
      </c>
      <c r="H335" s="8"/>
      <c r="I335" s="8"/>
      <c r="J335" s="23" t="s">
        <v>1051</v>
      </c>
      <c r="K335" s="23" t="s">
        <v>1050</v>
      </c>
      <c r="L335" s="23" t="s">
        <v>1049</v>
      </c>
      <c r="M335" s="23" t="s">
        <v>1430</v>
      </c>
    </row>
    <row r="336" spans="1:13" ht="14.45" customHeight="1" x14ac:dyDescent="0.25">
      <c r="A336" s="2" t="s">
        <v>900</v>
      </c>
      <c r="B336" s="2">
        <f>VLOOKUP(A336,'Candidatos E-26 ALC'!A338:I689,8,FALSE)</f>
        <v>63046</v>
      </c>
      <c r="C336" s="2" t="s">
        <v>894</v>
      </c>
      <c r="D336" s="2" t="s">
        <v>901</v>
      </c>
      <c r="E336" s="2" t="s">
        <v>902</v>
      </c>
      <c r="F336" s="2" t="s">
        <v>15</v>
      </c>
      <c r="G336" s="2">
        <v>0</v>
      </c>
      <c r="H336" s="2"/>
      <c r="I336" s="2"/>
      <c r="J336" s="23" t="s">
        <v>1071</v>
      </c>
      <c r="K336" s="23" t="s">
        <v>1072</v>
      </c>
      <c r="L336" s="23" t="s">
        <v>1073</v>
      </c>
      <c r="M336" s="23" t="s">
        <v>1070</v>
      </c>
    </row>
    <row r="337" spans="1:13" ht="14.45" customHeight="1" x14ac:dyDescent="0.25">
      <c r="A337" s="5" t="s">
        <v>931</v>
      </c>
      <c r="B337" s="2">
        <f>VLOOKUP(A337,'Candidatos E-26 ALC'!A351:I702,8,FALSE)</f>
        <v>40604</v>
      </c>
      <c r="C337" s="5" t="s">
        <v>894</v>
      </c>
      <c r="D337" s="5" t="s">
        <v>932</v>
      </c>
      <c r="E337" s="5" t="s">
        <v>933</v>
      </c>
      <c r="F337" s="5" t="s">
        <v>15</v>
      </c>
      <c r="G337" s="5">
        <v>0</v>
      </c>
      <c r="H337" s="5"/>
      <c r="I337" s="5"/>
      <c r="J337" s="22" t="s">
        <v>1133</v>
      </c>
      <c r="K337" s="22" t="s">
        <v>1135</v>
      </c>
      <c r="L337" s="22" t="s">
        <v>1136</v>
      </c>
      <c r="M337" s="22" t="s">
        <v>1134</v>
      </c>
    </row>
    <row r="338" spans="1:13" ht="14.45" customHeight="1" x14ac:dyDescent="0.25">
      <c r="A338" s="5" t="s">
        <v>914</v>
      </c>
      <c r="B338" s="2">
        <f>VLOOKUP(A338,'Candidatos E-26 ALC'!A343:I694,8,FALSE)</f>
        <v>15058</v>
      </c>
      <c r="C338" s="5" t="s">
        <v>894</v>
      </c>
      <c r="D338" s="5" t="s">
        <v>915</v>
      </c>
      <c r="E338" s="5" t="s">
        <v>160</v>
      </c>
      <c r="F338" s="5" t="s">
        <v>15</v>
      </c>
      <c r="G338" s="5">
        <v>0</v>
      </c>
      <c r="H338" s="5"/>
      <c r="I338" s="5"/>
      <c r="J338" s="22" t="s">
        <v>1326</v>
      </c>
      <c r="K338" s="22" t="s">
        <v>1328</v>
      </c>
      <c r="L338" s="22" t="s">
        <v>1329</v>
      </c>
      <c r="M338" s="22" t="s">
        <v>1327</v>
      </c>
    </row>
    <row r="339" spans="1:13" ht="14.45" customHeight="1" x14ac:dyDescent="0.25">
      <c r="A339" s="2" t="s">
        <v>893</v>
      </c>
      <c r="B339" s="2">
        <f>VLOOKUP(A339,'Candidatos E-26 ALC'!A336:I687,8,FALSE)</f>
        <v>6607</v>
      </c>
      <c r="C339" s="2" t="s">
        <v>894</v>
      </c>
      <c r="D339" s="2" t="s">
        <v>897</v>
      </c>
      <c r="E339" s="2" t="s">
        <v>249</v>
      </c>
      <c r="F339" s="2" t="s">
        <v>15</v>
      </c>
      <c r="G339" s="2">
        <v>0</v>
      </c>
      <c r="H339" s="2"/>
      <c r="I339" s="2"/>
      <c r="J339" s="16"/>
      <c r="K339" s="16"/>
      <c r="L339" s="16"/>
      <c r="M339" s="16"/>
    </row>
    <row r="340" spans="1:13" ht="14.45" customHeight="1" x14ac:dyDescent="0.25">
      <c r="A340" s="2" t="s">
        <v>925</v>
      </c>
      <c r="B340" s="2">
        <f>VLOOKUP(A340,'Candidatos E-26 ALC'!A348:I699,8,FALSE)</f>
        <v>5839</v>
      </c>
      <c r="C340" s="2" t="s">
        <v>894</v>
      </c>
      <c r="D340" s="2" t="s">
        <v>926</v>
      </c>
      <c r="E340" s="2" t="s">
        <v>71</v>
      </c>
      <c r="F340" s="2" t="s">
        <v>15</v>
      </c>
      <c r="G340" s="2">
        <v>0</v>
      </c>
      <c r="H340" s="2"/>
      <c r="I340" s="2"/>
      <c r="J340" s="16"/>
      <c r="K340" s="16"/>
      <c r="L340" s="16"/>
      <c r="M340" s="16"/>
    </row>
    <row r="341" spans="1:13" ht="14.45" customHeight="1" x14ac:dyDescent="0.25">
      <c r="A341" s="5" t="s">
        <v>903</v>
      </c>
      <c r="B341" s="2">
        <f>VLOOKUP(A341,'Candidatos E-26 ALC'!A339:I690,8,FALSE)</f>
        <v>4900</v>
      </c>
      <c r="C341" s="5" t="s">
        <v>894</v>
      </c>
      <c r="D341" s="5" t="s">
        <v>904</v>
      </c>
      <c r="E341" s="5" t="s">
        <v>905</v>
      </c>
      <c r="F341" s="5" t="s">
        <v>15</v>
      </c>
      <c r="G341" s="5">
        <v>0</v>
      </c>
      <c r="H341" s="5"/>
      <c r="I341" s="5"/>
      <c r="J341" s="17"/>
      <c r="K341" s="17"/>
      <c r="L341" s="17"/>
      <c r="M341" s="17"/>
    </row>
    <row r="342" spans="1:13" ht="14.45" customHeight="1" x14ac:dyDescent="0.25">
      <c r="A342" s="2" t="s">
        <v>916</v>
      </c>
      <c r="B342" s="2">
        <f>VLOOKUP(A342,'Candidatos E-26 ALC'!A344:I695,8,FALSE)</f>
        <v>1281</v>
      </c>
      <c r="C342" s="2" t="s">
        <v>894</v>
      </c>
      <c r="D342" s="2" t="s">
        <v>917</v>
      </c>
      <c r="E342" s="2" t="s">
        <v>31</v>
      </c>
      <c r="F342" s="2" t="s">
        <v>15</v>
      </c>
      <c r="G342" s="2">
        <v>0</v>
      </c>
      <c r="H342" s="2"/>
      <c r="I342" s="2"/>
      <c r="J342" s="16"/>
      <c r="K342" s="16"/>
      <c r="L342" s="16"/>
      <c r="M342" s="16"/>
    </row>
    <row r="343" spans="1:13" ht="14.45" customHeight="1" x14ac:dyDescent="0.25">
      <c r="A343" s="2" t="s">
        <v>911</v>
      </c>
      <c r="B343" s="2">
        <f>VLOOKUP(A343,'Candidatos E-26 ALC'!A342:I693,8,FALSE)</f>
        <v>943</v>
      </c>
      <c r="C343" s="2" t="s">
        <v>894</v>
      </c>
      <c r="D343" s="2" t="s">
        <v>912</v>
      </c>
      <c r="E343" s="2" t="s">
        <v>913</v>
      </c>
      <c r="F343" s="2" t="s">
        <v>15</v>
      </c>
      <c r="G343" s="2">
        <v>0</v>
      </c>
      <c r="H343" s="2"/>
      <c r="I343" s="2"/>
      <c r="J343" s="16"/>
      <c r="K343" s="16"/>
      <c r="L343" s="16"/>
      <c r="M343" s="16"/>
    </row>
    <row r="344" spans="1:13" ht="14.45" customHeight="1" x14ac:dyDescent="0.25">
      <c r="A344" s="2" t="s">
        <v>920</v>
      </c>
      <c r="B344" s="2">
        <f>VLOOKUP(A344,'Candidatos E-26 ALC'!A346:I697,8,FALSE)</f>
        <v>802</v>
      </c>
      <c r="C344" s="2" t="s">
        <v>894</v>
      </c>
      <c r="D344" s="2" t="s">
        <v>921</v>
      </c>
      <c r="E344" s="2" t="s">
        <v>922</v>
      </c>
      <c r="F344" s="2" t="s">
        <v>15</v>
      </c>
      <c r="G344" s="2">
        <v>0</v>
      </c>
      <c r="H344" s="2"/>
      <c r="I344" s="2"/>
      <c r="J344" s="16"/>
      <c r="K344" s="16"/>
      <c r="L344" s="16"/>
      <c r="M344" s="16"/>
    </row>
    <row r="345" spans="1:13" ht="14.45" customHeight="1" x14ac:dyDescent="0.25">
      <c r="A345" s="5" t="s">
        <v>927</v>
      </c>
      <c r="B345" s="2">
        <f>VLOOKUP(A345,'Candidatos E-26 ALC'!A349:I700,8,FALSE)</f>
        <v>658</v>
      </c>
      <c r="C345" s="5" t="s">
        <v>894</v>
      </c>
      <c r="D345" s="5" t="s">
        <v>928</v>
      </c>
      <c r="E345" s="5" t="s">
        <v>28</v>
      </c>
      <c r="F345" s="5" t="s">
        <v>15</v>
      </c>
      <c r="G345" s="5">
        <v>0</v>
      </c>
      <c r="H345" s="5"/>
      <c r="I345" s="5"/>
      <c r="J345" s="17"/>
      <c r="K345" s="17"/>
      <c r="L345" s="17"/>
      <c r="M345" s="17"/>
    </row>
    <row r="346" spans="1:13" ht="14.45" customHeight="1" x14ac:dyDescent="0.25">
      <c r="A346" s="5" t="s">
        <v>923</v>
      </c>
      <c r="B346" s="2">
        <f>VLOOKUP(A346,'Candidatos E-26 ALC'!A347:I698,8,FALSE)</f>
        <v>549</v>
      </c>
      <c r="C346" s="5" t="s">
        <v>894</v>
      </c>
      <c r="D346" s="5" t="s">
        <v>924</v>
      </c>
      <c r="E346" s="5" t="s">
        <v>34</v>
      </c>
      <c r="F346" s="5" t="s">
        <v>15</v>
      </c>
      <c r="G346" s="5">
        <v>0</v>
      </c>
      <c r="H346" s="5"/>
      <c r="I346" s="5"/>
      <c r="J346" s="17"/>
      <c r="K346" s="17"/>
      <c r="L346" s="17"/>
      <c r="M346" s="17"/>
    </row>
    <row r="347" spans="1:13" ht="14.45" customHeight="1" x14ac:dyDescent="0.25">
      <c r="A347" s="5" t="s">
        <v>898</v>
      </c>
      <c r="B347" s="2">
        <f>VLOOKUP(A347,'Candidatos E-26 ALC'!A337:I688,8,FALSE)</f>
        <v>458</v>
      </c>
      <c r="C347" s="5" t="s">
        <v>894</v>
      </c>
      <c r="D347" s="5" t="s">
        <v>899</v>
      </c>
      <c r="E347" s="5" t="s">
        <v>74</v>
      </c>
      <c r="F347" s="5" t="s">
        <v>15</v>
      </c>
      <c r="G347" s="5">
        <v>0</v>
      </c>
      <c r="H347" s="5"/>
      <c r="I347" s="5"/>
      <c r="J347" s="17"/>
      <c r="K347" s="17"/>
      <c r="L347" s="17"/>
      <c r="M347" s="17"/>
    </row>
    <row r="348" spans="1:13" ht="14.45" customHeight="1" x14ac:dyDescent="0.25">
      <c r="A348" s="5" t="s">
        <v>909</v>
      </c>
      <c r="B348" s="2">
        <f>VLOOKUP(A348,'Candidatos E-26 ALC'!A341:I692,8,FALSE)</f>
        <v>342</v>
      </c>
      <c r="C348" s="5" t="s">
        <v>894</v>
      </c>
      <c r="D348" s="5" t="s">
        <v>910</v>
      </c>
      <c r="E348" s="5" t="s">
        <v>126</v>
      </c>
      <c r="F348" s="5" t="s">
        <v>15</v>
      </c>
      <c r="G348" s="5">
        <v>0</v>
      </c>
      <c r="H348" s="5"/>
      <c r="I348" s="5"/>
      <c r="J348" s="17"/>
      <c r="K348" s="17"/>
      <c r="L348" s="17"/>
      <c r="M348" s="17"/>
    </row>
    <row r="349" spans="1:13" ht="14.45" customHeight="1" x14ac:dyDescent="0.25">
      <c r="A349" s="2" t="s">
        <v>929</v>
      </c>
      <c r="B349" s="2">
        <f>VLOOKUP(A349,'Candidatos E-26 ALC'!A350:I701,8,FALSE)</f>
        <v>245</v>
      </c>
      <c r="C349" s="2" t="s">
        <v>894</v>
      </c>
      <c r="D349" s="2" t="s">
        <v>930</v>
      </c>
      <c r="E349" s="2" t="s">
        <v>63</v>
      </c>
      <c r="F349" s="2" t="s">
        <v>15</v>
      </c>
      <c r="G349" s="2">
        <v>0</v>
      </c>
      <c r="H349" s="2"/>
      <c r="I349" s="2"/>
      <c r="J349" s="16"/>
      <c r="K349" s="16"/>
      <c r="L349" s="16"/>
      <c r="M349" s="16"/>
    </row>
    <row r="350" spans="1:13" ht="14.45" customHeight="1" x14ac:dyDescent="0.25">
      <c r="A350" s="5" t="s">
        <v>918</v>
      </c>
      <c r="B350" s="2">
        <f>VLOOKUP(A350,'Candidatos E-26 ALC'!A345:I696,8,FALSE)</f>
        <v>230</v>
      </c>
      <c r="C350" s="5" t="s">
        <v>894</v>
      </c>
      <c r="D350" s="5" t="s">
        <v>919</v>
      </c>
      <c r="E350" s="5" t="s">
        <v>80</v>
      </c>
      <c r="F350" s="5" t="s">
        <v>15</v>
      </c>
      <c r="G350" s="5">
        <v>0</v>
      </c>
      <c r="H350" s="5"/>
      <c r="I350" s="5"/>
      <c r="J350" s="17"/>
      <c r="K350" s="17"/>
      <c r="L350" s="17"/>
      <c r="M350" s="17"/>
    </row>
    <row r="351" spans="1:13" ht="14.45" customHeight="1" x14ac:dyDescent="0.25">
      <c r="G351" s="24"/>
      <c r="H351" s="25"/>
      <c r="I351" s="25"/>
    </row>
    <row r="352" spans="1:13" ht="14.45" customHeight="1" x14ac:dyDescent="0.25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</sheetData>
  <autoFilter ref="A1:M350" xr:uid="{00000000-0009-0000-0000-000001000000}">
    <sortState xmlns:xlrd2="http://schemas.microsoft.com/office/spreadsheetml/2017/richdata2" ref="A2:M350">
      <sortCondition ref="C1:C350"/>
    </sortState>
  </autoFilter>
  <mergeCells count="1">
    <mergeCell ref="A352:M352"/>
  </mergeCells>
  <hyperlinks>
    <hyperlink ref="J39" r:id="rId1" xr:uid="{00000000-0004-0000-0100-000006000000}"/>
    <hyperlink ref="K39" r:id="rId2" xr:uid="{00000000-0004-0000-0100-000007000000}"/>
    <hyperlink ref="L39" r:id="rId3" xr:uid="{00000000-0004-0000-0100-000008000000}"/>
    <hyperlink ref="M39" r:id="rId4" xr:uid="{00000000-0004-0000-0100-000009000000}"/>
    <hyperlink ref="J54" r:id="rId5" xr:uid="{00000000-0004-0000-0100-00001B000000}"/>
    <hyperlink ref="K54" r:id="rId6" xr:uid="{00000000-0004-0000-0100-00001C000000}"/>
    <hyperlink ref="L54" r:id="rId7" xr:uid="{00000000-0004-0000-0100-00001D000000}"/>
    <hyperlink ref="M54" r:id="rId8" xr:uid="{00000000-0004-0000-0100-00001E000000}"/>
    <hyperlink ref="J94" r:id="rId9" xr:uid="{00000000-0004-0000-0100-000036000000}"/>
    <hyperlink ref="K94" r:id="rId10" xr:uid="{00000000-0004-0000-0100-000037000000}"/>
    <hyperlink ref="L94" r:id="rId11" xr:uid="{00000000-0004-0000-0100-000038000000}"/>
    <hyperlink ref="M94" r:id="rId12" xr:uid="{00000000-0004-0000-0100-000039000000}"/>
    <hyperlink ref="J104" r:id="rId13" xr:uid="{00000000-0004-0000-0100-000046000000}"/>
    <hyperlink ref="K104" r:id="rId14" xr:uid="{00000000-0004-0000-0100-000047000000}"/>
    <hyperlink ref="M104" r:id="rId15" xr:uid="{00000000-0004-0000-0100-000049000000}"/>
    <hyperlink ref="J176" r:id="rId16" xr:uid="{00000000-0004-0000-0100-00005D000000}"/>
    <hyperlink ref="K176" r:id="rId17" xr:uid="{00000000-0004-0000-0100-00005E000000}"/>
    <hyperlink ref="L176" r:id="rId18" xr:uid="{00000000-0004-0000-0100-00005F000000}"/>
    <hyperlink ref="M176" r:id="rId19" xr:uid="{00000000-0004-0000-0100-000060000000}"/>
    <hyperlink ref="M95" r:id="rId20" xr:uid="{E8BB0C2E-67B6-4E5D-ADD2-25FE62C4B80D}"/>
    <hyperlink ref="L177" r:id="rId21" xr:uid="{D5D08DD5-5787-4115-9BFF-3876627850B7}"/>
    <hyperlink ref="K63" r:id="rId22" xr:uid="{ED19252D-670A-4981-8798-3FDA89AA7687}"/>
    <hyperlink ref="M63" r:id="rId23" xr:uid="{F77ABD0C-6F0B-4B81-B5D4-972D3E22C5C6}"/>
    <hyperlink ref="M116" r:id="rId24" xr:uid="{BC5976EE-40F6-4149-82AE-D95DA348A5C6}"/>
    <hyperlink ref="L116" r:id="rId25" xr:uid="{8D74270B-1A3E-4412-A9BB-E9C7B1ED3CF1}"/>
    <hyperlink ref="M191" r:id="rId26" xr:uid="{843F635D-AAD7-4A8F-A47A-B4D814E90873}"/>
    <hyperlink ref="L191" r:id="rId27" xr:uid="{199DCB97-D060-47C7-83CD-647D234D69AE}"/>
    <hyperlink ref="J191" r:id="rId28" xr:uid="{17FDA46D-E80E-42C2-A18D-46A024D1E62C}"/>
    <hyperlink ref="L117" r:id="rId29" xr:uid="{85343688-4A80-4D5A-B4CA-899FBD6D26B9}"/>
    <hyperlink ref="M117" r:id="rId30" xr:uid="{D3BA43E8-99A7-4CB1-B9A7-C7B054D82291}"/>
    <hyperlink ref="M96" r:id="rId31" xr:uid="{6AC357DD-8D06-418F-A9F7-00942DABF8F7}"/>
    <hyperlink ref="L96" r:id="rId32" xr:uid="{C6DEFB18-B431-4D17-9A21-DA82856C5D01}"/>
    <hyperlink ref="K96" r:id="rId33" xr:uid="{BA08B2E9-85E9-4F75-ACEB-53E02A225EC2}"/>
    <hyperlink ref="J96" r:id="rId34" xr:uid="{16218CFC-4DE7-472F-8172-83EC38F9788E}"/>
    <hyperlink ref="M266" r:id="rId35" xr:uid="{5F88CEB7-107F-4B0F-93F1-40F32BD0188C}"/>
    <hyperlink ref="K266" r:id="rId36" xr:uid="{34C3A2AA-F2A5-4E99-9ED1-6FA58FECD15F}"/>
    <hyperlink ref="L266" r:id="rId37" xr:uid="{373AEC03-13DD-4C1E-B4AD-5CAA7F7A0C8E}"/>
    <hyperlink ref="J266" r:id="rId38" xr:uid="{A2F17314-46AF-4B48-8CD7-B2D932D3CF70}"/>
    <hyperlink ref="L267" r:id="rId39" xr:uid="{6AF4D7AA-61E7-42C3-9BDC-DE916EC0E19D}"/>
    <hyperlink ref="J267" r:id="rId40" xr:uid="{E2DD97C6-94E1-44E6-A73C-2C27DEE3B831}"/>
    <hyperlink ref="M267" r:id="rId41" xr:uid="{E351E4A9-10FA-43BD-AAE4-51E707810750}"/>
    <hyperlink ref="K267" r:id="rId42" xr:uid="{9D5C5260-5E10-4B3A-ABD1-822A2145A89E}"/>
    <hyperlink ref="J305" r:id="rId43" xr:uid="{2ACFEC83-BC04-4450-BF1F-D0BF450FC3E9}"/>
    <hyperlink ref="M305" r:id="rId44" xr:uid="{DDD8FD9C-6AB6-4020-B5E2-7E4CB4301C4C}"/>
    <hyperlink ref="K305" r:id="rId45" xr:uid="{9BA14973-4DE1-45BF-A4C5-25A347788782}"/>
    <hyperlink ref="L305" r:id="rId46" xr:uid="{A6A42756-4A6D-4F33-A281-D94CE879534D}"/>
    <hyperlink ref="K226" r:id="rId47" xr:uid="{14DAC843-3FBB-4A39-8600-72223B387C26}"/>
    <hyperlink ref="L226" r:id="rId48" xr:uid="{F788AFE7-9DB4-43CD-9F51-C63FC42CC1F7}"/>
    <hyperlink ref="J226" r:id="rId49" xr:uid="{5989670D-81BD-4932-8C1E-0DA48B52B553}"/>
    <hyperlink ref="M226" r:id="rId50" xr:uid="{E54F4213-4E2A-406F-B5D1-4FBB72F184DD}"/>
    <hyperlink ref="L281" r:id="rId51" xr:uid="{0C3628D1-5428-41C0-9C8B-0E45DD9E1329}"/>
    <hyperlink ref="K281" r:id="rId52" xr:uid="{CD281228-36CE-49B0-AAFB-4E64A57A5CB2}"/>
    <hyperlink ref="M281" r:id="rId53" xr:uid="{F5DC414A-4DFD-4F24-9D56-25000193E817}"/>
    <hyperlink ref="J281" r:id="rId54" xr:uid="{48C19B75-7990-421C-88EF-1A307784354C}"/>
    <hyperlink ref="M149" r:id="rId55" xr:uid="{C4F07E13-4F2D-4B32-99B4-0EB722AF9F02}"/>
    <hyperlink ref="J149" r:id="rId56" xr:uid="{F385F951-518C-4ADA-869F-AF4055B9E236}"/>
    <hyperlink ref="K149" r:id="rId57" xr:uid="{8A3E96B6-AB77-4DE0-B878-18CADB810BFB}"/>
    <hyperlink ref="L149" r:id="rId58" xr:uid="{95862DEF-61D4-462B-99BF-24951C195E9B}"/>
    <hyperlink ref="M217" r:id="rId59" xr:uid="{BE79B291-C371-44DA-B3A0-3BA89D2D88C1}"/>
    <hyperlink ref="J217" r:id="rId60" xr:uid="{C8C9B6C5-AA89-4D4F-866E-97EA9350B38C}"/>
    <hyperlink ref="K217" r:id="rId61" xr:uid="{9B696DAE-2EBC-43FB-B7A0-C8822841AD9F}"/>
    <hyperlink ref="L217" r:id="rId62" xr:uid="{B11AF9F9-6492-4D55-BFA1-C7F445C8D6F0}"/>
    <hyperlink ref="L27" r:id="rId63" xr:uid="{ADACE529-D71B-4A5E-9740-4263D4C92F40}"/>
    <hyperlink ref="K27" r:id="rId64" xr:uid="{FF7CE18F-8FD1-4446-866A-3791B9E60D4A}"/>
    <hyperlink ref="J27" r:id="rId65" xr:uid="{B6635050-4613-48B2-B0C4-AFA52414EA9B}"/>
    <hyperlink ref="M27" r:id="rId66" xr:uid="{F131C498-701B-464E-9E0E-67B563B9B25E}"/>
    <hyperlink ref="L325" r:id="rId67" xr:uid="{2A3E6C16-8C7F-4EC9-96A0-A9AB47D272A2}"/>
    <hyperlink ref="J325" r:id="rId68" xr:uid="{50759789-90F5-4655-A63B-9FA6F08451A7}"/>
    <hyperlink ref="K325" r:id="rId69" xr:uid="{731C9768-E7C7-4E69-BE76-7D6C46789E9F}"/>
    <hyperlink ref="M325" r:id="rId70" xr:uid="{24F32987-99C0-41BD-A420-70B156580BAC}"/>
    <hyperlink ref="L335" r:id="rId71" xr:uid="{9BFF5E0E-9326-458D-9675-439D177373D6}"/>
    <hyperlink ref="K335" r:id="rId72" xr:uid="{A47B3AF9-5C3E-4575-96EB-ABF72797F1CC}"/>
    <hyperlink ref="J335" r:id="rId73" xr:uid="{71A2CC01-CC0D-429A-B208-8F380A52DFC6}"/>
    <hyperlink ref="J150" r:id="rId74" xr:uid="{3776012C-FCEC-49A5-A30D-42543A1F680C}"/>
    <hyperlink ref="M150" r:id="rId75" xr:uid="{1E90B73D-59A3-4737-90A5-DC0A44EC2BB5}"/>
    <hyperlink ref="J57" r:id="rId76" xr:uid="{386CE3A4-8AA2-42C1-9C54-BAE5610FC597}"/>
    <hyperlink ref="M57" r:id="rId77" xr:uid="{95D5FA12-A21E-423A-8958-571F532F6098}"/>
    <hyperlink ref="K57" r:id="rId78" xr:uid="{601C8F98-3493-47F5-A994-741AAFB257ED}"/>
    <hyperlink ref="L57" r:id="rId79" xr:uid="{08FEE88C-5F5D-4332-B8B1-621E7E6D068D}"/>
    <hyperlink ref="J58" r:id="rId80" xr:uid="{621EC21D-F8D6-494E-AB11-F48D0E7E7D70}"/>
    <hyperlink ref="M58" r:id="rId81" xr:uid="{19D03EAE-A651-4921-8A4F-20CF4F40EC23}"/>
    <hyperlink ref="K58" r:id="rId82" xr:uid="{23449CE7-FDBD-4EEA-AB4F-332EA0E8F9DB}"/>
    <hyperlink ref="L58" r:id="rId83" xr:uid="{C5EDE57A-5822-464B-B53B-A692CE59C45F}"/>
    <hyperlink ref="M45" r:id="rId84" xr:uid="{C686A5F0-E16B-403E-99B5-75AE111FA9A2}"/>
    <hyperlink ref="K45" r:id="rId85" xr:uid="{5132E9AA-60DE-44C3-8106-F37CE1398FE1}"/>
    <hyperlink ref="L45" r:id="rId86" xr:uid="{B5911D57-84B3-45D7-8E20-8166AB962F5D}"/>
    <hyperlink ref="J45" r:id="rId87" xr:uid="{B045B1B8-A7A7-46DB-8978-7B3D15418F71}"/>
    <hyperlink ref="J227" r:id="rId88" xr:uid="{6EE930AD-1738-411F-A5C2-8447433D9C70}"/>
    <hyperlink ref="M227" r:id="rId89" xr:uid="{A08F418C-B6E6-42E1-824C-564995AD423A}"/>
    <hyperlink ref="K227" r:id="rId90" xr:uid="{21A687D2-E2FA-4E78-BBB4-AF1C145E4337}"/>
    <hyperlink ref="L227" r:id="rId91" xr:uid="{A19C8621-1EEB-42BE-A329-907FE1CE2423}"/>
    <hyperlink ref="M336" r:id="rId92" xr:uid="{2A96D976-C7E9-4D0C-9CD5-39017EBEECA6}"/>
    <hyperlink ref="J336" r:id="rId93" xr:uid="{DE895660-42DF-455B-81B6-A0B886F8A236}"/>
    <hyperlink ref="K336" r:id="rId94" xr:uid="{804D99B8-2FC8-4EAF-96D6-36095FFF3812}"/>
    <hyperlink ref="L336" r:id="rId95" xr:uid="{AB8EE888-5DD7-403D-B930-FA624340555B}"/>
    <hyperlink ref="J295" r:id="rId96" xr:uid="{1223D1A0-5B39-4DDE-8BA5-8F8E4A6E1C78}"/>
    <hyperlink ref="K295" r:id="rId97" xr:uid="{8A0AD8DE-D965-491D-8BF3-0EC63E0FA627}"/>
    <hyperlink ref="M295" r:id="rId98" xr:uid="{60B7DA48-D143-465D-B716-312C2874026B}"/>
    <hyperlink ref="L295" r:id="rId99" xr:uid="{40F4A935-4979-402D-99F7-BF087E8A4EF6}"/>
    <hyperlink ref="K207" r:id="rId100" xr:uid="{82163995-4C0C-4A14-B344-8A4C1E547D47}"/>
    <hyperlink ref="M207" r:id="rId101" xr:uid="{0F3CB925-07D3-48C8-9AC2-44067E6BA4D8}"/>
    <hyperlink ref="J207" r:id="rId102" xr:uid="{F16D6ABE-05AE-4085-8BC4-AF52E69AFBAF}"/>
    <hyperlink ref="L207" r:id="rId103" xr:uid="{733BF8A1-3616-4724-B7E4-CF1947246BE2}"/>
    <hyperlink ref="M198" r:id="rId104" xr:uid="{728307D7-7BFF-4A9B-AD28-4F7A5EB69EA0}"/>
    <hyperlink ref="L198" r:id="rId105" xr:uid="{DE1F3A73-EB23-4571-A36C-75E7F82B815F}"/>
    <hyperlink ref="K198" r:id="rId106" xr:uid="{54F2D8F0-4E58-4ED6-B47A-649629337535}"/>
    <hyperlink ref="J198" r:id="rId107" xr:uid="{48AB8F18-D697-4673-AF14-02275913D80D}"/>
    <hyperlink ref="J105" r:id="rId108" xr:uid="{0528B4EA-9857-4308-8710-D966C192BF4C}"/>
    <hyperlink ref="K105" r:id="rId109" xr:uid="{7BE5CEF7-6D25-45F8-AA30-17F00E010E53}"/>
    <hyperlink ref="L105" r:id="rId110" xr:uid="{E6E85116-621F-4BF3-8F40-223463CF8242}"/>
    <hyperlink ref="M105" r:id="rId111" xr:uid="{270BCE0E-9CD7-4ABA-8ED4-A9E730176185}"/>
    <hyperlink ref="J46" r:id="rId112" xr:uid="{3DF6DCC3-07CB-47B8-8309-75118A925285}"/>
    <hyperlink ref="K46" r:id="rId113" xr:uid="{95921A9C-658C-48A3-9ADA-7D0AE413092E}"/>
    <hyperlink ref="L46" r:id="rId114" xr:uid="{B1B3357F-54C7-4D66-AB2C-3D94980CA2D4}"/>
    <hyperlink ref="M46" r:id="rId115" xr:uid="{73633CE8-EE90-4B06-867E-613CFDDCBE88}"/>
    <hyperlink ref="J139" r:id="rId116" xr:uid="{E8471E17-15DD-40F3-9455-4FA3D53ADA62}"/>
    <hyperlink ref="L139" r:id="rId117" xr:uid="{37EE6088-A7F7-4A33-A978-7221082CF7B8}"/>
    <hyperlink ref="M139" r:id="rId118" xr:uid="{53F26535-320C-430B-AA29-4C4F44F54757}"/>
    <hyperlink ref="K139" r:id="rId119" xr:uid="{D035C61B-28BE-4912-BD9F-035ADC72A7D5}"/>
    <hyperlink ref="J306" r:id="rId120" xr:uid="{1747E094-5A4B-45EE-81CD-ACB6DB470FC8}"/>
    <hyperlink ref="K306" r:id="rId121" xr:uid="{83D166C6-848F-4211-A97B-ED63CCF3431C}"/>
    <hyperlink ref="L306" r:id="rId122" xr:uid="{E59E4195-1B6C-4D7E-8DFE-9BFDAE617A90}"/>
    <hyperlink ref="M306" r:id="rId123" xr:uid="{964DDA88-AAC5-4A91-9792-EBC51EA982BA}"/>
    <hyperlink ref="J296" r:id="rId124" xr:uid="{BF2D1FE3-C1A4-4CCD-9D8E-311FFF29A95D}"/>
    <hyperlink ref="K296" r:id="rId125" xr:uid="{0D0ABFC7-C70E-45A9-8941-296E9110A3D9}"/>
    <hyperlink ref="L296" r:id="rId126" xr:uid="{5E9ACD1D-0D49-49D1-88AC-FBF09E3650E5}"/>
    <hyperlink ref="M296" r:id="rId127" xr:uid="{5EB6A3AA-6BCD-4899-926D-B26067EA6707}"/>
    <hyperlink ref="K150" r:id="rId128" xr:uid="{589FAF0B-A4D0-442B-BEDA-A7D91E0207D1}"/>
    <hyperlink ref="L150" r:id="rId129" xr:uid="{E7F86AAB-0A88-41FA-BA96-E2D6AB51F630}"/>
    <hyperlink ref="J40" r:id="rId130" xr:uid="{BF50EB0A-24E1-45B2-9612-7358B8F54BB6}"/>
    <hyperlink ref="K40" r:id="rId131" xr:uid="{DEEB3DE6-1098-40FC-AF81-A008986642AA}"/>
    <hyperlink ref="L40" r:id="rId132" xr:uid="{44BCC0BD-28CD-407E-ADE6-B608D026E8DF}"/>
    <hyperlink ref="M40" r:id="rId133" xr:uid="{E1254C28-F71C-4E22-9C73-76019D0F52AD}"/>
    <hyperlink ref="L135" r:id="rId134" xr:uid="{5E66198D-468A-45F0-8D7E-2233FC883E1A}"/>
    <hyperlink ref="K135" r:id="rId135" xr:uid="{1E9CF5A6-242E-494C-A850-BE5F277FEB08}"/>
    <hyperlink ref="M135" r:id="rId136" xr:uid="{7A69D9AE-E6FC-45F0-AA7E-5CF10C34F0E3}"/>
    <hyperlink ref="J135" r:id="rId137" xr:uid="{59CE4C7B-547E-4295-8B8F-17459B8E90A3}"/>
    <hyperlink ref="J158" r:id="rId138" xr:uid="{E2920E04-53B9-41F0-8A5E-BF0487132F17}"/>
    <hyperlink ref="K158" r:id="rId139" xr:uid="{3F6E4115-62F9-443F-83B3-77C9355CB361}"/>
    <hyperlink ref="L158" r:id="rId140" xr:uid="{CC63A83F-4B46-413E-AC48-D772C9DC09EB}"/>
    <hyperlink ref="M158" r:id="rId141" xr:uid="{62BF4BE0-BBBB-4A7A-BAD0-BBA72D2C7653}"/>
    <hyperlink ref="J218" r:id="rId142" xr:uid="{17DF4C4A-1521-4D6B-99D3-C2EDC8884813}"/>
    <hyperlink ref="K218" r:id="rId143" xr:uid="{61AD83E7-8CDD-42F4-AA87-6C8998814578}"/>
    <hyperlink ref="M218" r:id="rId144" xr:uid="{B3C95BB6-22D9-488C-BBF0-5930C232A358}"/>
    <hyperlink ref="L218" r:id="rId145" xr:uid="{A898B9BB-2067-4918-A2A9-E1C78015B7B5}"/>
    <hyperlink ref="K118" r:id="rId146" xr:uid="{1FC72CA7-4BC7-4CEC-9A16-E4F9CB4CC9EE}"/>
    <hyperlink ref="L118" r:id="rId147" xr:uid="{F2DF7353-7F94-44EB-B503-E77EC1BD02F0}"/>
    <hyperlink ref="M118" r:id="rId148" xr:uid="{051F2F2C-6CC9-4DB8-8CCE-1AC2DF870CD7}"/>
    <hyperlink ref="J78" r:id="rId149" xr:uid="{9E490CAD-1DB1-4FAA-820D-5B63D6AC28EA}"/>
    <hyperlink ref="M78" r:id="rId150" xr:uid="{B6B850F7-5A8B-4CCA-9FCB-24AED3DF8198}"/>
    <hyperlink ref="K78" r:id="rId151" xr:uid="{1ED92461-F8B1-47E3-BF1D-222161A6F21A}"/>
    <hyperlink ref="L78" r:id="rId152" xr:uid="{66BE8377-CDAE-4F7C-8ACD-7DA120E3AF75}"/>
    <hyperlink ref="J337" r:id="rId153" xr:uid="{2F18F589-AAE7-4F87-883F-5D2152097DB4}"/>
    <hyperlink ref="M337" r:id="rId154" xr:uid="{5332F547-0DE7-4C56-8CD5-9778739E79D6}"/>
    <hyperlink ref="K337" r:id="rId155" xr:uid="{19981A0A-A3B5-4CE4-B067-60FBB5B03C4C}"/>
    <hyperlink ref="L337" r:id="rId156" xr:uid="{FE77DD8F-8273-4063-91B9-A08753E90D13}"/>
    <hyperlink ref="K64" r:id="rId157" xr:uid="{EFB9BFC3-456B-4550-AA05-AB14364A7130}"/>
    <hyperlink ref="L64" r:id="rId158" xr:uid="{0441E5B1-31FC-4ED3-8B6A-34D4865A2448}"/>
    <hyperlink ref="M64" r:id="rId159" xr:uid="{F2EFAF55-C2DD-4D2C-BA95-03FE6CC40D13}"/>
    <hyperlink ref="J282" r:id="rId160" xr:uid="{17F844B4-89AF-44E1-8DAA-6B2CC0DBD1E5}"/>
    <hyperlink ref="M282" r:id="rId161" xr:uid="{0771BCC1-75F3-4B7C-A0E6-79EB1238858C}"/>
    <hyperlink ref="J106" r:id="rId162" xr:uid="{5C149B83-AB8F-4855-A744-2590D360F547}"/>
    <hyperlink ref="K106" r:id="rId163" xr:uid="{449B2E96-36D1-469D-A4E6-52F04BFA7E17}"/>
    <hyperlink ref="L106" r:id="rId164" xr:uid="{2F6B3C1E-8C28-42F2-A5C5-7BF0ACA31A30}"/>
    <hyperlink ref="M106" r:id="rId165" xr:uid="{7F09DAFA-0381-46F0-9F35-358E4AD9904F}"/>
    <hyperlink ref="J208" r:id="rId166" xr:uid="{CECE1E99-5C8A-4F24-9BE6-6D6BCFD20402}"/>
    <hyperlink ref="M208" r:id="rId167" xr:uid="{7A556C97-4D1E-45D8-A050-37798E4B81ED}"/>
    <hyperlink ref="K208" r:id="rId168" xr:uid="{8D56E874-69D2-4DFF-BF57-3A89586393BF}"/>
    <hyperlink ref="L208" r:id="rId169" xr:uid="{F0690304-5A2C-4D3D-9829-EC6901589288}"/>
    <hyperlink ref="J246" r:id="rId170" xr:uid="{F3DC3BC1-8139-4728-8A69-58457BB2E5B4}"/>
    <hyperlink ref="K246" r:id="rId171" xr:uid="{B4173A04-BF0D-4A3A-BAFE-247CCF5720B1}"/>
    <hyperlink ref="L246" r:id="rId172" xr:uid="{7F85CB32-3D1B-4707-8C23-C75827AEC270}"/>
    <hyperlink ref="M246" r:id="rId173" xr:uid="{66076148-8A15-4E80-B567-C79AA0A5F751}"/>
    <hyperlink ref="J247" r:id="rId174" xr:uid="{BD89D1F0-968F-44F7-8E90-25152A928716}"/>
    <hyperlink ref="M247" r:id="rId175" xr:uid="{FA8B2555-3DF2-4EFB-8E5D-FB75F1BECBC5}"/>
    <hyperlink ref="L247" r:id="rId176" xr:uid="{2EB7E8DC-32B2-47D3-8A25-732C86EBB289}"/>
    <hyperlink ref="J107" r:id="rId177" xr:uid="{416F4DEA-2CCE-4720-A1D5-08C321703F16}"/>
    <hyperlink ref="K107" r:id="rId178" xr:uid="{66F719E8-13C9-455D-86E6-1841658F5E6E}"/>
    <hyperlink ref="L107" r:id="rId179" xr:uid="{9BD8B396-4A1E-4E51-9094-19D308F35FD7}"/>
    <hyperlink ref="M107" r:id="rId180" xr:uid="{4915283A-D21B-4839-A19A-CDEF60ED1E4F}"/>
    <hyperlink ref="J13" r:id="rId181" xr:uid="{D4487D4C-DBF6-49A9-B7CF-1C2CA63D00B1}"/>
    <hyperlink ref="M13" r:id="rId182" xr:uid="{040973EB-82A3-4485-86F8-2D3FE471CC85}"/>
    <hyperlink ref="K13" r:id="rId183" xr:uid="{A675C960-559C-4B52-B704-B5CF034F3E26}"/>
    <hyperlink ref="L13" r:id="rId184" xr:uid="{ECE2DD91-5EAF-4FE6-9D7C-26712384D630}"/>
    <hyperlink ref="J97" r:id="rId185" xr:uid="{B27C2FA8-7C9F-4DEC-BC68-01D52EF9EA28}"/>
    <hyperlink ref="L97" r:id="rId186" xr:uid="{B0A59012-645C-434F-91A2-464623979BB0}"/>
    <hyperlink ref="M97" r:id="rId187" xr:uid="{768B752C-EEFD-464D-88C4-FE13CD1AA106}"/>
    <hyperlink ref="K97" r:id="rId188" xr:uid="{6B09D2D7-B414-4691-BAC4-65D64AF88EF1}"/>
    <hyperlink ref="J59" r:id="rId189" xr:uid="{7591096F-6771-4B2B-9AC1-9F1FCC413DF3}"/>
    <hyperlink ref="K59" r:id="rId190" xr:uid="{0AF11F86-F6AF-4342-B303-53C0D260B82F}"/>
    <hyperlink ref="L59" r:id="rId191" xr:uid="{ED7385DC-F54F-4889-A7BB-D81D595F9A1E}"/>
    <hyperlink ref="M59" r:id="rId192" xr:uid="{807D542A-BB21-4918-93EC-996FFCC3B9D8}"/>
    <hyperlink ref="J65" r:id="rId193" xr:uid="{54F01973-48FB-475B-B689-6B38B18638CD}"/>
    <hyperlink ref="K65" r:id="rId194" xr:uid="{C2073B79-D765-4C20-8208-BF3D311BDD41}"/>
    <hyperlink ref="M65" r:id="rId195" xr:uid="{37B5F955-5907-45BB-83C6-BCCF0CF86B78}"/>
    <hyperlink ref="L65" r:id="rId196" xr:uid="{580CC133-02E4-4880-B73C-6FE3790C5DA5}"/>
    <hyperlink ref="J159" r:id="rId197" xr:uid="{A361D188-0DA3-45DD-81BB-69D44D7F0346}"/>
    <hyperlink ref="K159" r:id="rId198" xr:uid="{DFB5B7CA-2718-436B-B7EE-5AA4FD51549D}"/>
    <hyperlink ref="L159" r:id="rId199" xr:uid="{06385E2F-02BB-4FA8-9398-716B7E41507A}"/>
    <hyperlink ref="M159" r:id="rId200" xr:uid="{1A55BAC5-DD3D-470D-947A-83533A6DA2B7}"/>
    <hyperlink ref="J160" r:id="rId201" xr:uid="{7DD9798E-581D-453C-B3AA-CDA80D1D70F9}"/>
    <hyperlink ref="K160" r:id="rId202" xr:uid="{1851A5C7-FDEA-493A-9BC2-BAE9EF977F48}"/>
    <hyperlink ref="L160" r:id="rId203" xr:uid="{DFBB19C7-D0CC-40B0-9ADC-ED4B7A5D418E}"/>
    <hyperlink ref="M160" r:id="rId204" xr:uid="{AD0DE356-9C5D-46ED-B552-3D9B492EDF6B}"/>
    <hyperlink ref="J140" r:id="rId205" xr:uid="{E6452014-D7C1-4BAE-9FCD-EA98C7899E84}"/>
    <hyperlink ref="K140" r:id="rId206" xr:uid="{B0B06CF5-A351-4A87-A8E8-D98FC76E2087}"/>
    <hyperlink ref="L140" r:id="rId207" xr:uid="{4D395B19-E37B-4EF5-BF98-1A42CD67D63D}"/>
    <hyperlink ref="M140" r:id="rId208" xr:uid="{52132017-9483-40E7-8597-E8793F61BD59}"/>
    <hyperlink ref="J228" r:id="rId209" xr:uid="{DA073A37-CA32-4AE3-B646-7163A0FBA452}"/>
    <hyperlink ref="K228" r:id="rId210" xr:uid="{C86046FE-7AFD-433E-95C1-2A205706D1C4}"/>
    <hyperlink ref="L228" r:id="rId211" xr:uid="{CB960BE3-CB06-4808-8A30-34451137D39A}"/>
    <hyperlink ref="M228" r:id="rId212" xr:uid="{BD6D277E-861A-4D02-8416-37526B7A7050}"/>
    <hyperlink ref="J60" r:id="rId213" xr:uid="{DDE08CD7-A78A-44B2-8396-0A585410DB1D}"/>
    <hyperlink ref="L60" r:id="rId214" xr:uid="{E5DC238B-5C34-46BD-A0BA-882C4F0B93CC}"/>
    <hyperlink ref="K60" r:id="rId215" xr:uid="{FC463CA3-1C0E-4886-A557-47EDC33E4D41}"/>
    <hyperlink ref="M60" r:id="rId216" xr:uid="{85956A9E-D354-449C-B9B7-2FDD5271FB0B}"/>
    <hyperlink ref="J248" r:id="rId217" xr:uid="{C628DA84-97ED-4523-ACAB-E3D6A3ACFB22}"/>
    <hyperlink ref="L248" r:id="rId218" xr:uid="{6BAF4BC6-E69C-4A07-A9AC-AC526F5DA208}"/>
    <hyperlink ref="M248" r:id="rId219" xr:uid="{9E227E9A-F3A5-46BD-AFAC-682619211218}"/>
    <hyperlink ref="J260" r:id="rId220" xr:uid="{E357EA35-21D1-4F63-8B82-FF04F148161D}"/>
    <hyperlink ref="K260" r:id="rId221" xr:uid="{C8A13E15-1E12-4065-B46A-EEBED86F27EC}"/>
    <hyperlink ref="L260" r:id="rId222" xr:uid="{99C0494B-84D1-4A99-986F-D0C44BF0DB5D}"/>
    <hyperlink ref="M260" r:id="rId223" xr:uid="{B5190311-5C4D-43CF-9423-69DB78E08B79}"/>
    <hyperlink ref="J2" r:id="rId224" xr:uid="{90FAC440-A5E3-4885-87DF-EAA49F395435}"/>
    <hyperlink ref="K2" r:id="rId225" xr:uid="{F4D1BDE1-ACAA-44B6-9AB4-1753300610A9}"/>
    <hyperlink ref="L2" r:id="rId226" xr:uid="{FBFA0C44-BE92-4A39-A504-EDCDB7FC8CF4}"/>
    <hyperlink ref="M2" r:id="rId227" xr:uid="{C996999C-5F3D-4B82-8489-68B0A27992D4}"/>
    <hyperlink ref="M28" r:id="rId228" xr:uid="{EE95C28D-59DF-4875-8082-C08123D4222E}"/>
    <hyperlink ref="J28" r:id="rId229" xr:uid="{1E89EB7D-FAA8-4FCC-A5C9-CBD0BF13CEE2}"/>
    <hyperlink ref="K28" r:id="rId230" xr:uid="{4FE5B7E4-E822-480E-9823-F74A464D379A}"/>
    <hyperlink ref="L28" r:id="rId231" xr:uid="{BA61BA0A-1273-402F-BDF1-C9E7EEC99ED5}"/>
    <hyperlink ref="J136" r:id="rId232" xr:uid="{A936D388-B2DE-4471-90B0-325A924F58A4}"/>
    <hyperlink ref="M136" r:id="rId233" xr:uid="{D837B4A3-416A-41F5-AE49-4873ECF37C87}"/>
    <hyperlink ref="K316" r:id="rId234" xr:uid="{8D7CC906-89DA-4B6F-A908-FFFD7A320222}"/>
    <hyperlink ref="M316" r:id="rId235" xr:uid="{50030721-CD34-43CA-9D2F-8A2CDA3A92B0}"/>
    <hyperlink ref="L316" r:id="rId236" xr:uid="{EF2ACC34-6F94-4CCB-BAD6-ED90BC647CDD}"/>
    <hyperlink ref="J316" r:id="rId237" xr:uid="{A310E823-F1C2-43BB-82D1-DFAEEB618F88}"/>
    <hyperlink ref="J178" r:id="rId238" xr:uid="{8EED1809-7D98-496D-802E-B2FD90C15E1E}"/>
    <hyperlink ref="M178" r:id="rId239" xr:uid="{DE7AB367-3D2F-4673-A867-8EC2AE6DE3C0}"/>
    <hyperlink ref="K178" r:id="rId240" xr:uid="{D4A947B8-358C-41DB-AAAA-3EC456086C9A}"/>
    <hyperlink ref="L178" r:id="rId241" xr:uid="{72590984-362F-4DF5-87DF-151856966A06}"/>
    <hyperlink ref="J261" r:id="rId242" xr:uid="{DFC03A2D-5F01-443E-BA59-EC589FF94269}"/>
    <hyperlink ref="K261" r:id="rId243" xr:uid="{8A630550-6A29-41B1-8050-6F04078FB0AE}"/>
    <hyperlink ref="M261" r:id="rId244" xr:uid="{DA2FE1C3-B748-4627-874B-841A12E94C6B}"/>
    <hyperlink ref="L14" r:id="rId245" xr:uid="{7C015125-F4FB-407A-A024-F25C23C62200}"/>
    <hyperlink ref="J14" r:id="rId246" xr:uid="{5695C949-1D4F-4C7E-A351-A57E98CD3DFD}"/>
    <hyperlink ref="M14" r:id="rId247" xr:uid="{DB847B02-BE1A-49DF-A7E9-5B4C13DAED41}"/>
    <hyperlink ref="M307" r:id="rId248" xr:uid="{90A31CD2-4D02-4F7C-8D04-EAEDC35E91DF}"/>
    <hyperlink ref="L307" r:id="rId249" xr:uid="{9FBA4D5F-F52F-4E0A-9DEA-39F10D298F4E}"/>
    <hyperlink ref="K307" r:id="rId250" xr:uid="{3D4E061B-58B2-40CB-8A5C-B238018F8A7F}"/>
    <hyperlink ref="J307" r:id="rId251" xr:uid="{ED428501-0992-4BD4-8D93-A582F353E74E}"/>
    <hyperlink ref="J326" r:id="rId252" xr:uid="{E8D94E9F-D945-4514-A161-9A96E8E35679}"/>
    <hyperlink ref="K326" r:id="rId253" xr:uid="{E8BBFC38-8F2D-445F-AC8E-DD89C58C6C79}"/>
    <hyperlink ref="L326" r:id="rId254" xr:uid="{052FDE3F-F69B-4B1E-80EB-3034326BBF0F}"/>
    <hyperlink ref="M326" r:id="rId255" xr:uid="{088F4057-8CE1-4E41-8863-51A5F28DC7CF}"/>
    <hyperlink ref="J130" r:id="rId256" xr:uid="{035C0259-2D0C-4A7F-B620-D4D5472B82FD}"/>
    <hyperlink ref="L130" r:id="rId257" xr:uid="{25C0EC99-4084-4EEF-8D04-23E9DCB95415}"/>
    <hyperlink ref="K130" r:id="rId258" xr:uid="{C82AC3D4-9CFE-4DA0-A994-F2D832EFBE22}"/>
    <hyperlink ref="M130" r:id="rId259" xr:uid="{8EE95FD2-85B2-4D89-80C3-FE66F6A15996}"/>
    <hyperlink ref="M234" r:id="rId260" xr:uid="{AE0A8815-AA89-4A5B-8032-A049602C807E}"/>
    <hyperlink ref="L234" r:id="rId261" xr:uid="{F037A08E-7B3F-4B50-BB9C-CB755168BA57}"/>
    <hyperlink ref="K234" r:id="rId262" xr:uid="{837CD94E-C3C4-47A7-B684-840E6448562B}"/>
    <hyperlink ref="J234" r:id="rId263" xr:uid="{992C4E59-CBBB-4B12-929A-5427D18F893E}"/>
    <hyperlink ref="M108" r:id="rId264" xr:uid="{ED74A614-5EBD-4739-B94F-EB20107FB2D6}"/>
    <hyperlink ref="K108" r:id="rId265" xr:uid="{C6F59F61-A257-45AF-877F-39BC3306D4EA}"/>
    <hyperlink ref="J108" r:id="rId266" xr:uid="{7464499A-5BA1-4D8C-A229-42B61D70F2C5}"/>
    <hyperlink ref="L108" r:id="rId267" xr:uid="{FF331B10-ACB3-4E9D-B260-1C7BB046E4F6}"/>
    <hyperlink ref="J66" r:id="rId268" xr:uid="{9227A9C3-9E81-43B2-A038-1B69A37A90B8}"/>
    <hyperlink ref="L66" r:id="rId269" xr:uid="{5A822F7D-B80A-4946-ABEE-846FCD2D1760}"/>
    <hyperlink ref="K66" r:id="rId270" xr:uid="{0EE2CB08-A09A-4451-B516-966038CF27FD}"/>
    <hyperlink ref="M66" r:id="rId271" xr:uid="{BE651F56-FABD-41BF-8A50-59B08D48CF9C}"/>
    <hyperlink ref="J131" r:id="rId272" xr:uid="{D2418C1C-EF4A-4036-8AF3-89D91FDD787B}"/>
    <hyperlink ref="L131" r:id="rId273" xr:uid="{C99311E7-1188-4AF4-8A2C-D3661410CC6F}"/>
    <hyperlink ref="K131" r:id="rId274" xr:uid="{E522DBF5-F59E-4635-B411-BBFEC0FFD3CB}"/>
    <hyperlink ref="M131" r:id="rId275" xr:uid="{A7083C05-0F97-4C39-ADE9-A068F47B6F9C}"/>
    <hyperlink ref="J67" r:id="rId276" xr:uid="{30BEDCE5-C818-49EA-8DC0-3FA7851BC49D}"/>
    <hyperlink ref="L67" r:id="rId277" xr:uid="{C05CACFF-DC02-4C34-8C7D-D154B5D2EC99}"/>
    <hyperlink ref="K67" r:id="rId278" xr:uid="{9CD9860A-9DDE-4A80-A43E-CC3BEA61881E}"/>
    <hyperlink ref="M67" r:id="rId279" xr:uid="{4B66A3B2-9EED-4A1E-B926-B8025B5799C3}"/>
    <hyperlink ref="J167" r:id="rId280" xr:uid="{04D82AC4-9373-4495-B029-1B0E35B56C71}"/>
    <hyperlink ref="K167" r:id="rId281" xr:uid="{9DE0D6F8-DAC5-43DA-B52E-4E4494B7C5F6}"/>
    <hyperlink ref="L167" r:id="rId282" xr:uid="{E9AF79E0-2AA2-4687-BEFE-0F7ED15059AE}"/>
    <hyperlink ref="M167" r:id="rId283" xr:uid="{90FA869D-615C-4490-9D54-21A639C95D57}"/>
    <hyperlink ref="J3" r:id="rId284" xr:uid="{186189FC-B189-48B5-9141-CCF3794EB2B3}"/>
    <hyperlink ref="K3" r:id="rId285" xr:uid="{7A34B5FE-017C-4B67-BBA7-3D01A773A960}"/>
    <hyperlink ref="M3" r:id="rId286" xr:uid="{89B1D8F3-87FA-4554-BA8E-5ABFFA8FE0DB}"/>
    <hyperlink ref="J327" r:id="rId287" xr:uid="{8E5153DE-9C00-4689-9D84-6F1CC94C83C8}"/>
    <hyperlink ref="K327" r:id="rId288" xr:uid="{1C6295FC-CBEE-4117-B836-EB66FABBF5F8}"/>
    <hyperlink ref="L327" r:id="rId289" xr:uid="{973BFCFF-5877-4D0C-B83E-51120FFF284B}"/>
    <hyperlink ref="M327" r:id="rId290" xr:uid="{2EE8AFEC-9394-4014-90EF-EFCBC4F87F67}"/>
    <hyperlink ref="L262" r:id="rId291" xr:uid="{EA571617-EAAF-4298-A444-1686ADD1D3D5}"/>
    <hyperlink ref="K262" r:id="rId292" xr:uid="{AC84840B-F3D1-480B-BB39-024179B2F2FE}"/>
    <hyperlink ref="J262" r:id="rId293" xr:uid="{E8B9E159-E076-416B-B54D-E3B95F01ED75}"/>
    <hyperlink ref="J132" r:id="rId294" xr:uid="{B450D7E7-5FFA-413C-8E43-1B6EB18697DE}"/>
    <hyperlink ref="K132" r:id="rId295" xr:uid="{33DA5BD8-3FDC-4BEE-AD0F-56CC1D26927A}"/>
    <hyperlink ref="L132" r:id="rId296" xr:uid="{692DD2B8-162E-41D4-B102-9E744EBF34FC}"/>
    <hyperlink ref="M132" r:id="rId297" xr:uid="{374B1D5B-6330-4DD9-AC3A-273CC12CB3CA}"/>
    <hyperlink ref="J151" r:id="rId298" xr:uid="{461E7030-4225-4F51-830A-F0A914765891}"/>
    <hyperlink ref="K151" r:id="rId299" xr:uid="{63D4F047-34D7-4DB3-A863-D338E082518F}"/>
    <hyperlink ref="L151" r:id="rId300" xr:uid="{3E2E93AE-B986-4030-A5A4-DCF3E38CCAFC}"/>
    <hyperlink ref="M151" r:id="rId301" xr:uid="{89DBB7D9-B012-4778-86BA-B88448122C6F}"/>
    <hyperlink ref="K79" r:id="rId302" xr:uid="{1CC3B30D-55E3-48C4-958E-2194300E7D16}"/>
    <hyperlink ref="M79" r:id="rId303" xr:uid="{250A8EE6-9C28-4FB2-9D35-73B8CC2B4E00}"/>
    <hyperlink ref="M262" r:id="rId304" xr:uid="{09E505D1-5E14-4B56-9CB8-B521B3B81A60}"/>
    <hyperlink ref="L79" r:id="rId305" xr:uid="{A98CD08F-B3A3-4243-AC18-4D36F4536165}"/>
    <hyperlink ref="J297" r:id="rId306" xr:uid="{6D66CEBB-CAFA-43E6-AE15-E5FD81162B6E}"/>
    <hyperlink ref="K297" r:id="rId307" xr:uid="{6F7C2771-FFE8-4F6A-9417-3F9278D90766}"/>
    <hyperlink ref="L297" r:id="rId308" xr:uid="{1FEE7F89-264D-46C0-90B0-BE6603006F15}"/>
    <hyperlink ref="M297" r:id="rId309" xr:uid="{13258245-AED3-4740-868D-25D308564107}"/>
    <hyperlink ref="J328" r:id="rId310" xr:uid="{C25F4DDE-DEF0-48B2-B142-958599703B6B}"/>
    <hyperlink ref="M328" r:id="rId311" xr:uid="{64D94DEC-FDCB-4B47-8ED0-CFAE81F35579}"/>
    <hyperlink ref="K328" r:id="rId312" xr:uid="{74EF847F-3849-4C10-A31E-2A821F251DC3}"/>
    <hyperlink ref="L328" r:id="rId313" xr:uid="{43E6FB73-BFB5-4757-BB0D-7665CD644538}"/>
    <hyperlink ref="M98" r:id="rId314" xr:uid="{995E09AF-C1E8-46E9-A2F2-E51BB4C8802E}"/>
    <hyperlink ref="J41" r:id="rId315" xr:uid="{84B8E2A8-8EF7-47F0-9A21-ABC7086C904B}"/>
    <hyperlink ref="M152" r:id="rId316" xr:uid="{7355F602-54A8-4514-A6D3-E00D8F73A9EC}"/>
    <hyperlink ref="K152" r:id="rId317" xr:uid="{AA64C7A4-22C4-4714-8118-7E4E11736E0D}"/>
    <hyperlink ref="J152" r:id="rId318" xr:uid="{66D5E096-C1AA-4813-8367-8813F33D8F7B}"/>
    <hyperlink ref="L152" r:id="rId319" xr:uid="{088F396F-DDB0-4E9C-9EFA-93CF44B5CF21}"/>
    <hyperlink ref="J209" r:id="rId320" xr:uid="{A476BAFF-FC7D-4364-8C47-B546C0FAEE1A}"/>
    <hyperlink ref="K209" r:id="rId321" xr:uid="{121D0C05-91A0-40FA-81D2-DE84701C9D4A}"/>
    <hyperlink ref="L209" r:id="rId322" xr:uid="{74F955A8-D058-4F2F-B305-775CAF52E311}"/>
    <hyperlink ref="M209" r:id="rId323" xr:uid="{12F46A80-0F27-4F05-BF49-AF24094366CF}"/>
    <hyperlink ref="M199" r:id="rId324" xr:uid="{8E864CFD-E74B-4019-A2B2-4706CA2FD461}"/>
    <hyperlink ref="J199" r:id="rId325" xr:uid="{31A2FFC9-8611-4C66-85B2-A520F1E268C4}"/>
    <hyperlink ref="J317" r:id="rId326" xr:uid="{AB3A3661-592C-48A5-ACE8-7849626E100E}"/>
    <hyperlink ref="K317" r:id="rId327" xr:uid="{DC19933C-125E-400C-9DFC-4F8D6B24C97A}"/>
    <hyperlink ref="J268" r:id="rId328" xr:uid="{6562872A-C53C-4F7A-B801-BC40C4E3CCC1}"/>
    <hyperlink ref="J119" r:id="rId329" xr:uid="{5B13E2CD-8364-4740-AD00-ABF4FC0A8692}"/>
    <hyperlink ref="K119" r:id="rId330" xr:uid="{F1FE7A53-8846-4620-A384-64E6E1C19E55}"/>
    <hyperlink ref="L119" r:id="rId331" xr:uid="{554794B1-A8F7-4E9E-A0AC-42EC086AA2E4}"/>
    <hyperlink ref="M119" r:id="rId332" xr:uid="{1A116AA9-0ADA-49AD-A794-14AE8D3FE151}"/>
    <hyperlink ref="J29" r:id="rId333" xr:uid="{D5A43CA5-B9F3-432D-B2F9-44FC4B3DBD58}"/>
    <hyperlink ref="K29" r:id="rId334" xr:uid="{930817CD-7C90-4C39-B5F4-1E1F9697BCB5}"/>
    <hyperlink ref="L29" r:id="rId335" xr:uid="{1CFF83CE-EE93-4C21-9EA7-63E5FCC2F519}"/>
    <hyperlink ref="M29" r:id="rId336" xr:uid="{18CBF1E8-22B2-4E10-A90D-39AA32EA2C8B}"/>
    <hyperlink ref="J153" r:id="rId337" xr:uid="{AF53763A-27C2-496A-A7C6-EFB2EAAF55E0}"/>
    <hyperlink ref="K153" r:id="rId338" xr:uid="{6B170007-30E6-41E1-B8CB-95BDA29DDB2B}"/>
    <hyperlink ref="L153" r:id="rId339" xr:uid="{7EC3496E-2E1B-4B5D-9FEA-5F2B8AEE7B88}"/>
    <hyperlink ref="M153" r:id="rId340" xr:uid="{F3A099FF-1F51-4154-9354-D85DE020ED13}"/>
    <hyperlink ref="J137" r:id="rId341" xr:uid="{33113C3E-D96E-435E-AE16-39788B2C1DE7}"/>
    <hyperlink ref="M137" r:id="rId342" xr:uid="{73B1B857-6530-40D8-8875-6FCBA7D480BC}"/>
    <hyperlink ref="J338" r:id="rId343" xr:uid="{136B2C93-7250-4C1B-93C0-3C28345DA9D4}"/>
    <hyperlink ref="M338" r:id="rId344" xr:uid="{46E8AF26-C80F-43B5-BCD9-1DA8FAF40F3B}"/>
    <hyperlink ref="K338" r:id="rId345" xr:uid="{6EF79CD8-8AF4-4A4D-8D3F-F3BD88E29EE1}"/>
    <hyperlink ref="L338" r:id="rId346" xr:uid="{DE6E9178-A430-4395-9E7A-540F30BD3DD5}"/>
    <hyperlink ref="J219" r:id="rId347" xr:uid="{A886421C-9FA0-4D1D-A555-D75C6BBEC56D}"/>
    <hyperlink ref="K219" r:id="rId348" xr:uid="{03D0F959-65F0-4576-B1C1-EB2A63DAFFFE}"/>
    <hyperlink ref="L219" r:id="rId349" xr:uid="{83B6EE5F-0FA0-464A-A871-35882B674CD7}"/>
    <hyperlink ref="M219" r:id="rId350" xr:uid="{20D12798-4F2D-45D8-B3D9-EEDAC8BA81AA}"/>
    <hyperlink ref="J298" r:id="rId351" xr:uid="{F5527F66-B3DA-41D8-9765-4CA7EEDC97F1}"/>
    <hyperlink ref="K298" r:id="rId352" xr:uid="{1A2A15F4-5117-42C7-8B70-CA4AB5970A53}"/>
    <hyperlink ref="L298" r:id="rId353" xr:uid="{9AB03DF6-2293-4BBA-B95F-D4513057928C}"/>
    <hyperlink ref="M298" r:id="rId354" xr:uid="{A2E339C5-2DF9-4719-964F-F251CB520C94}"/>
    <hyperlink ref="K61" r:id="rId355" xr:uid="{377B7786-3EAF-416F-99C6-8C77872E4C23}"/>
    <hyperlink ref="J61" r:id="rId356" xr:uid="{0854386D-6229-4879-9457-DDA376455E76}"/>
    <hyperlink ref="L61" r:id="rId357" xr:uid="{23628636-C0DC-445A-83E0-3745B69B9189}"/>
    <hyperlink ref="J200" r:id="rId358" xr:uid="{D0E98960-CCCC-4BE2-BC70-EBA21D7DD8B4}"/>
    <hyperlink ref="M200" r:id="rId359" xr:uid="{D49963B7-E86C-4490-977A-501B8A78A3DD}"/>
    <hyperlink ref="J229" r:id="rId360" xr:uid="{87D0FA26-A909-45F1-BD49-F86D89AF1A58}"/>
    <hyperlink ref="L229" r:id="rId361" xr:uid="{A838D8C4-AC0D-46CD-BEB4-4D5804C43945}"/>
    <hyperlink ref="K229" r:id="rId362" xr:uid="{D9C5DFF7-9BF6-4BF2-83DC-F549252E49F2}"/>
    <hyperlink ref="M229" r:id="rId363" xr:uid="{9D3DAEF5-BF30-4D21-916D-450F5C49DEF0}"/>
    <hyperlink ref="M201" r:id="rId364" xr:uid="{9F7C5EF6-018D-483C-B59B-3DE77ACC60D5}"/>
    <hyperlink ref="K201" r:id="rId365" xr:uid="{0482AEA3-29E3-4285-BA7C-61171C0896C9}"/>
    <hyperlink ref="L201" r:id="rId366" xr:uid="{D015EE26-7E89-4DC7-8E92-938B53864255}"/>
    <hyperlink ref="J201" r:id="rId367" xr:uid="{F3B3A811-947E-4A64-9FD3-9D295407E06F}"/>
    <hyperlink ref="J141" r:id="rId368" xr:uid="{59736F95-E649-4CFA-8A45-53EF3C5F5FE6}"/>
    <hyperlink ref="K141" r:id="rId369" xr:uid="{ED28EC78-A0B8-4996-B314-2E390CDDA886}"/>
    <hyperlink ref="L141" r:id="rId370" xr:uid="{13FC8DC5-72F5-4379-BE4E-9923F5114396}"/>
    <hyperlink ref="M141" r:id="rId371" xr:uid="{4DB2DF46-3D91-485F-86D1-A018F3AA4C0B}"/>
    <hyperlink ref="J179" r:id="rId372" xr:uid="{264B41A9-B5FA-48AF-ACB2-AAE3C399AE90}"/>
    <hyperlink ref="K179" r:id="rId373" xr:uid="{61EE2789-FED2-43B9-A813-328A352754CA}"/>
    <hyperlink ref="L179" r:id="rId374" xr:uid="{728AEF58-6A7C-4829-A776-9E1F1A2FEC31}"/>
    <hyperlink ref="M179" r:id="rId375" xr:uid="{1919B1A3-793A-4D63-B5AE-8E4498DDC235}"/>
    <hyperlink ref="J120" r:id="rId376" xr:uid="{9EED662A-9B0A-42E9-886E-56A9B743EA4A}"/>
    <hyperlink ref="K120" r:id="rId377" xr:uid="{4EF1B325-BE49-4D6E-9CBD-27713228D023}"/>
    <hyperlink ref="L120" r:id="rId378" xr:uid="{79D2603C-C10F-4869-8AFD-73E90DC5158A}"/>
    <hyperlink ref="M120" r:id="rId379" xr:uid="{07C54EF0-2A81-4580-841B-48FE8C5BE427}"/>
    <hyperlink ref="J202" r:id="rId380" xr:uid="{240A6E84-68A0-4B87-82E1-562572ED7AB7}"/>
    <hyperlink ref="L202" r:id="rId381" xr:uid="{7BD4B96C-8B86-4D4B-9D11-A81A1AFC1913}"/>
    <hyperlink ref="M202" r:id="rId382" xr:uid="{69B03112-4BCA-44CA-8AB4-995FF08CC991}"/>
    <hyperlink ref="J283" r:id="rId383" xr:uid="{3EABF4BD-FDFB-4024-BB99-D5FB80F7420C}"/>
    <hyperlink ref="M283" r:id="rId384" xr:uid="{8E10395F-6237-4A45-9FAE-9547ED9F3FDB}"/>
    <hyperlink ref="J203" r:id="rId385" xr:uid="{2FB5AD72-AE18-411D-913F-8A9E4798293B}"/>
    <hyperlink ref="K203" r:id="rId386" xr:uid="{40BC0523-4BBD-4DC5-8035-5B2FA54C84DD}"/>
    <hyperlink ref="L203" r:id="rId387" xr:uid="{C103903A-DBC4-4FDD-B63A-AAF14138F219}"/>
    <hyperlink ref="M203" r:id="rId388" xr:uid="{88D8FF20-9A07-4692-9DA6-7E9441D8853A}"/>
    <hyperlink ref="J121" r:id="rId389" xr:uid="{CDF21456-7EE7-4FAF-9E29-AC3095E8B710}"/>
    <hyperlink ref="K121" r:id="rId390" xr:uid="{FB72FBED-F0D8-4EEB-8609-DC41E244C6D5}"/>
    <hyperlink ref="L121" r:id="rId391" xr:uid="{9FE6BB21-D205-4F42-A4A1-04B7B3B8B867}"/>
    <hyperlink ref="M121" r:id="rId392" xr:uid="{B259A195-3609-4A06-AC4B-74DA482DE1A8}"/>
    <hyperlink ref="J180" r:id="rId393" xr:uid="{C432A164-9BBF-401D-A2D8-8A71573C54D8}"/>
    <hyperlink ref="K180" r:id="rId394" xr:uid="{2D2E3A14-600E-4CFD-8A4E-F0B61820295E}"/>
    <hyperlink ref="L180" r:id="rId395" xr:uid="{0E159A7A-119E-44FF-A05B-0FFDC2D4E34A}"/>
    <hyperlink ref="M180" r:id="rId396" xr:uid="{29D68BF5-F2DB-409B-99A9-0CE74D783774}"/>
    <hyperlink ref="M15" r:id="rId397" xr:uid="{26DC8B78-F5FC-4FFE-9BEB-C68A3D718BF5}"/>
    <hyperlink ref="J15" r:id="rId398" xr:uid="{36999AC1-13FC-4C81-A5FE-1AE970997895}"/>
    <hyperlink ref="K15" r:id="rId399" xr:uid="{F1B6CDB3-D7DB-4041-8DA1-36CF172DB220}"/>
    <hyperlink ref="L15" r:id="rId400" xr:uid="{36074799-65FC-4632-AA92-F02DCCB993A5}"/>
    <hyperlink ref="J318" r:id="rId401" xr:uid="{7B1640BB-82E7-44A9-BD5B-6FD8C51CC5C4}"/>
    <hyperlink ref="K318" r:id="rId402" xr:uid="{1BEDE21F-61F4-4AA1-A729-C684C7C4A9A7}"/>
    <hyperlink ref="L318" r:id="rId403" xr:uid="{626BDFDE-7AC6-43CF-85E2-7D50E0B1B4EC}"/>
    <hyperlink ref="M318" r:id="rId404" xr:uid="{99EBF6F1-06EB-4315-A3AE-AB9957D3FB2B}"/>
    <hyperlink ref="M47" r:id="rId405" xr:uid="{7B07B612-3A88-4B60-886F-6FC970BB6B41}"/>
    <hyperlink ref="J99" r:id="rId406" xr:uid="{0D0C9636-A1BE-4572-9F60-17DA53A1D9B8}"/>
    <hyperlink ref="K99" r:id="rId407" xr:uid="{73689F04-7E3B-430A-988E-472883578A46}"/>
    <hyperlink ref="M99" r:id="rId408" xr:uid="{9410E670-EECB-417E-9A31-D3949A0214B2}"/>
    <hyperlink ref="L99" r:id="rId409" xr:uid="{A215DA8C-109A-4819-9C6D-80C0A1492AC1}"/>
    <hyperlink ref="J154" r:id="rId410" xr:uid="{8507B41C-7E70-400C-930C-AB114BA6509E}"/>
    <hyperlink ref="K154" r:id="rId411" xr:uid="{E9FE295A-2D43-420A-8A9E-10F016D11B6C}"/>
    <hyperlink ref="L154" r:id="rId412" xr:uid="{BE50457E-5FF4-46CE-983A-8A1E71BB846E}"/>
    <hyperlink ref="M154" r:id="rId413" xr:uid="{5217E048-4675-43D9-9163-562318C43A55}"/>
    <hyperlink ref="J329" r:id="rId414" xr:uid="{904205CF-7EB6-4895-AFCD-F3B24BB02260}"/>
    <hyperlink ref="K329" r:id="rId415" xr:uid="{2C2AE4C7-0238-4B56-89D6-B1E30FE2A47E}"/>
    <hyperlink ref="L329" r:id="rId416" xr:uid="{5F95A1EF-F351-4326-B4B0-0BE11CC3FD81}"/>
    <hyperlink ref="M329" r:id="rId417" xr:uid="{88820289-C3F9-4DB3-926D-95F74FA46E7F}"/>
    <hyperlink ref="M235" r:id="rId418" xr:uid="{84013A51-65D7-4364-80AD-68AB09966D22}"/>
    <hyperlink ref="J235" r:id="rId419" xr:uid="{666D654D-08F1-4058-B107-A245896B6FC1}"/>
    <hyperlink ref="L235" r:id="rId420" xr:uid="{0E8A8878-07DA-42EE-9834-EEE7B9753309}"/>
    <hyperlink ref="K235" r:id="rId421" xr:uid="{14603315-4B99-4DF1-9E49-DB6FE13D0C09}"/>
    <hyperlink ref="J181" r:id="rId422" xr:uid="{0DE0D3CC-91C4-48C1-A2B4-EC846B5D1082}"/>
    <hyperlink ref="K181" r:id="rId423" xr:uid="{B17BCE6D-1CA5-4D3F-9CB9-D26C8358CF7F}"/>
    <hyperlink ref="L181" r:id="rId424" xr:uid="{ECBAD3DE-BD62-4A89-A694-011DE2D981C1}"/>
    <hyperlink ref="M181" r:id="rId425" xr:uid="{FDDAB7EC-3DDF-4C42-B006-1E9755E3C809}"/>
    <hyperlink ref="J68" r:id="rId426" xr:uid="{462837B2-0B52-489B-95BC-8BA6183CC41A}"/>
    <hyperlink ref="M68" r:id="rId427" xr:uid="{F42FD553-6EB7-4B88-A9FE-261718A340E8}"/>
    <hyperlink ref="K68" r:id="rId428" xr:uid="{7A183CAD-5D6A-4E1E-A490-A2287DC0528C}"/>
    <hyperlink ref="L68" r:id="rId429" xr:uid="{B22A6BB4-2BF6-435B-A883-4962FAAAEE8F}"/>
    <hyperlink ref="J69" r:id="rId430" xr:uid="{F30B54DC-2EEE-4B78-93F0-7E62616FB4DC}"/>
    <hyperlink ref="M69" r:id="rId431" xr:uid="{B5B739A5-B17C-40F7-8205-0AA4763BC714}"/>
    <hyperlink ref="I233" r:id="rId432" xr:uid="{C3369525-B7A0-4412-8D59-0C493A78E1DC}"/>
    <hyperlink ref="J62" r:id="rId433" xr:uid="{E7329603-2EDD-44F0-B789-E1D85A13A5AF}"/>
    <hyperlink ref="M62" r:id="rId434" xr:uid="{2A04F1A5-411E-4112-96AF-11194F0F7BB9}"/>
    <hyperlink ref="K62" r:id="rId435" xr:uid="{0386DF53-8D0D-44E0-8911-4355A04799F9}"/>
    <hyperlink ref="L62" r:id="rId436" xr:uid="{8C766B81-71F9-4A3D-A568-5595B2174541}"/>
    <hyperlink ref="J98" r:id="rId437" xr:uid="{CF0A4B26-01DE-4363-8D0A-7FDDD09CFCDE}"/>
    <hyperlink ref="L98" r:id="rId438" xr:uid="{CD04CC97-53AD-43B1-ABAA-2D4FE039CB55}"/>
    <hyperlink ref="K98" r:id="rId439" xr:uid="{094EBB15-996A-4155-B60F-1048DF22330D}"/>
    <hyperlink ref="M41" r:id="rId440" xr:uid="{E18AE4E3-ACC6-4772-AF56-2A660690954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1A66-E7AF-45C7-96E0-5FFFB608A329}">
  <dimension ref="A2:E4"/>
  <sheetViews>
    <sheetView workbookViewId="0">
      <selection activeCell="G6" sqref="G6"/>
    </sheetView>
  </sheetViews>
  <sheetFormatPr baseColWidth="10" defaultRowHeight="15" x14ac:dyDescent="0.25"/>
  <cols>
    <col min="4" max="4" width="15.42578125" customWidth="1"/>
  </cols>
  <sheetData>
    <row r="2" spans="1:5" x14ac:dyDescent="0.25">
      <c r="B2" t="s">
        <v>1426</v>
      </c>
      <c r="C2" t="s">
        <v>1427</v>
      </c>
      <c r="D2" t="s">
        <v>1428</v>
      </c>
      <c r="E2" t="s">
        <v>1429</v>
      </c>
    </row>
    <row r="3" spans="1:5" x14ac:dyDescent="0.25">
      <c r="A3" t="s">
        <v>936</v>
      </c>
      <c r="B3">
        <v>112</v>
      </c>
      <c r="C3">
        <f>B3*0.012</f>
        <v>1.3440000000000001</v>
      </c>
      <c r="D3" s="30">
        <f>((60+35)/60)*B3</f>
        <v>177.33333333333331</v>
      </c>
      <c r="E3" s="29">
        <f>D3/60</f>
        <v>2.9555555555555553</v>
      </c>
    </row>
    <row r="4" spans="1:5" x14ac:dyDescent="0.25">
      <c r="A4" t="s">
        <v>937</v>
      </c>
      <c r="B4">
        <v>123</v>
      </c>
      <c r="C4">
        <f>B4*0.241</f>
        <v>29.643000000000001</v>
      </c>
      <c r="D4" s="30">
        <f>((60+5)/60)*B4</f>
        <v>133.25</v>
      </c>
      <c r="E4" s="29">
        <f>D4/60</f>
        <v>2.2208333333333332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8" customWidth="1"/>
    <col min="2" max="2" width="22" customWidth="1"/>
    <col min="3" max="3" width="10" customWidth="1"/>
    <col min="4" max="4" width="14" customWidth="1"/>
    <col min="5" max="5" width="22" customWidth="1"/>
    <col min="6" max="6" width="42" customWidth="1"/>
    <col min="7" max="7" width="46" customWidth="1"/>
    <col min="8" max="8" width="14" customWidth="1"/>
  </cols>
  <sheetData>
    <row r="1" spans="1:8" ht="32.1" customHeight="1" x14ac:dyDescent="0.25">
      <c r="A1" s="1" t="s">
        <v>1</v>
      </c>
      <c r="B1" s="1" t="s">
        <v>2</v>
      </c>
      <c r="C1" s="1" t="s">
        <v>3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</row>
    <row r="2" spans="1:8" x14ac:dyDescent="0.25">
      <c r="A2" s="2" t="s">
        <v>10</v>
      </c>
      <c r="B2" s="2" t="s">
        <v>11</v>
      </c>
      <c r="C2" s="3" t="s">
        <v>12</v>
      </c>
      <c r="D2" s="11">
        <v>11</v>
      </c>
      <c r="E2" s="4">
        <v>53836</v>
      </c>
      <c r="F2" s="2" t="s">
        <v>23</v>
      </c>
      <c r="G2" s="2" t="s">
        <v>24</v>
      </c>
      <c r="H2" s="4">
        <v>28317</v>
      </c>
    </row>
    <row r="3" spans="1:8" x14ac:dyDescent="0.25">
      <c r="A3" s="5" t="s">
        <v>48</v>
      </c>
      <c r="B3" s="5" t="s">
        <v>49</v>
      </c>
      <c r="C3" s="6" t="s">
        <v>50</v>
      </c>
      <c r="D3" s="12">
        <v>14</v>
      </c>
      <c r="E3" s="7">
        <v>117130</v>
      </c>
      <c r="F3" s="5" t="s">
        <v>84</v>
      </c>
      <c r="G3" s="5" t="s">
        <v>85</v>
      </c>
      <c r="H3" s="7">
        <v>35703</v>
      </c>
    </row>
    <row r="4" spans="1:8" x14ac:dyDescent="0.25">
      <c r="A4" s="2" t="s">
        <v>90</v>
      </c>
      <c r="B4" s="2" t="s">
        <v>91</v>
      </c>
      <c r="C4" s="3" t="s">
        <v>92</v>
      </c>
      <c r="D4" s="11">
        <v>12</v>
      </c>
      <c r="E4" s="4">
        <v>123383</v>
      </c>
      <c r="F4" s="2" t="s">
        <v>103</v>
      </c>
      <c r="G4" s="2" t="s">
        <v>104</v>
      </c>
      <c r="H4" s="4">
        <v>72593</v>
      </c>
    </row>
    <row r="5" spans="1:8" x14ac:dyDescent="0.25">
      <c r="A5" s="5" t="s">
        <v>122</v>
      </c>
      <c r="B5" s="5" t="s">
        <v>123</v>
      </c>
      <c r="C5" s="6" t="s">
        <v>124</v>
      </c>
      <c r="D5" s="12">
        <v>6</v>
      </c>
      <c r="E5" s="7">
        <v>510163</v>
      </c>
      <c r="F5" s="5" t="s">
        <v>128</v>
      </c>
      <c r="G5" s="5" t="s">
        <v>129</v>
      </c>
      <c r="H5" s="7">
        <v>417644</v>
      </c>
    </row>
    <row r="6" spans="1:8" x14ac:dyDescent="0.25">
      <c r="A6" s="2" t="s">
        <v>141</v>
      </c>
      <c r="B6" s="2" t="s">
        <v>11</v>
      </c>
      <c r="C6" s="3" t="s">
        <v>142</v>
      </c>
      <c r="D6" s="11">
        <v>9</v>
      </c>
      <c r="E6" s="4">
        <v>148408</v>
      </c>
      <c r="F6" s="2" t="s">
        <v>148</v>
      </c>
      <c r="G6" s="2" t="s">
        <v>149</v>
      </c>
      <c r="H6" s="4">
        <v>64022</v>
      </c>
    </row>
    <row r="7" spans="1:8" x14ac:dyDescent="0.25">
      <c r="A7" s="5" t="s">
        <v>168</v>
      </c>
      <c r="B7" s="5" t="s">
        <v>168</v>
      </c>
      <c r="C7" s="6" t="s">
        <v>169</v>
      </c>
      <c r="D7" s="12">
        <v>9</v>
      </c>
      <c r="E7" s="7">
        <v>2906741</v>
      </c>
      <c r="F7" s="5" t="s">
        <v>181</v>
      </c>
      <c r="G7" s="5" t="s">
        <v>182</v>
      </c>
      <c r="H7" s="7">
        <v>1499734</v>
      </c>
    </row>
    <row r="8" spans="1:8" x14ac:dyDescent="0.25">
      <c r="A8" s="2" t="s">
        <v>194</v>
      </c>
      <c r="B8" s="2" t="s">
        <v>91</v>
      </c>
      <c r="C8" s="3" t="s">
        <v>195</v>
      </c>
      <c r="D8" s="11">
        <v>15</v>
      </c>
      <c r="E8" s="4">
        <v>247630</v>
      </c>
      <c r="F8" s="2" t="s">
        <v>196</v>
      </c>
      <c r="G8" s="2" t="s">
        <v>197</v>
      </c>
      <c r="H8" s="4">
        <v>91418</v>
      </c>
    </row>
    <row r="9" spans="1:8" x14ac:dyDescent="0.25">
      <c r="A9" s="5" t="s">
        <v>235</v>
      </c>
      <c r="B9" s="5" t="s">
        <v>236</v>
      </c>
      <c r="C9" s="6" t="s">
        <v>237</v>
      </c>
      <c r="D9" s="12">
        <v>16</v>
      </c>
      <c r="E9" s="7">
        <v>98753</v>
      </c>
      <c r="F9" s="5" t="s">
        <v>271</v>
      </c>
      <c r="G9" s="5" t="s">
        <v>272</v>
      </c>
      <c r="H9" s="7">
        <v>42201</v>
      </c>
    </row>
    <row r="10" spans="1:8" x14ac:dyDescent="0.25">
      <c r="A10" s="2" t="s">
        <v>277</v>
      </c>
      <c r="B10" s="2" t="s">
        <v>236</v>
      </c>
      <c r="C10" s="3" t="s">
        <v>278</v>
      </c>
      <c r="D10" s="11">
        <v>10</v>
      </c>
      <c r="E10" s="4">
        <v>703975</v>
      </c>
      <c r="F10" s="2" t="s">
        <v>281</v>
      </c>
      <c r="G10" s="2" t="s">
        <v>282</v>
      </c>
      <c r="H10" s="4">
        <v>318656</v>
      </c>
    </row>
    <row r="11" spans="1:8" x14ac:dyDescent="0.25">
      <c r="A11" s="5" t="s">
        <v>305</v>
      </c>
      <c r="B11" s="5" t="s">
        <v>306</v>
      </c>
      <c r="C11" s="6" t="s">
        <v>307</v>
      </c>
      <c r="D11" s="12">
        <v>12</v>
      </c>
      <c r="E11" s="7">
        <v>336038</v>
      </c>
      <c r="F11" s="5" t="s">
        <v>333</v>
      </c>
      <c r="G11" s="5" t="s">
        <v>334</v>
      </c>
      <c r="H11" s="7">
        <v>160548</v>
      </c>
    </row>
    <row r="12" spans="1:8" x14ac:dyDescent="0.25">
      <c r="A12" s="2" t="s">
        <v>336</v>
      </c>
      <c r="B12" s="2" t="s">
        <v>337</v>
      </c>
      <c r="C12" s="3" t="s">
        <v>338</v>
      </c>
      <c r="D12" s="11">
        <v>14</v>
      </c>
      <c r="E12" s="4">
        <v>297325</v>
      </c>
      <c r="F12" s="2" t="s">
        <v>361</v>
      </c>
      <c r="G12" s="2" t="s">
        <v>362</v>
      </c>
      <c r="H12" s="4">
        <v>89753</v>
      </c>
    </row>
    <row r="13" spans="1:8" x14ac:dyDescent="0.25">
      <c r="A13" s="5" t="s">
        <v>372</v>
      </c>
      <c r="B13" s="5" t="s">
        <v>373</v>
      </c>
      <c r="C13" s="6" t="s">
        <v>374</v>
      </c>
      <c r="D13" s="12">
        <v>5</v>
      </c>
      <c r="E13" s="7">
        <v>76219</v>
      </c>
      <c r="F13" s="5" t="s">
        <v>380</v>
      </c>
      <c r="G13" s="5" t="s">
        <v>381</v>
      </c>
      <c r="H13" s="7">
        <v>24279</v>
      </c>
    </row>
    <row r="14" spans="1:8" x14ac:dyDescent="0.25">
      <c r="A14" s="2" t="s">
        <v>388</v>
      </c>
      <c r="B14" s="2" t="s">
        <v>11</v>
      </c>
      <c r="C14" s="3" t="s">
        <v>389</v>
      </c>
      <c r="D14" s="11">
        <v>4</v>
      </c>
      <c r="E14" s="4">
        <v>101798</v>
      </c>
      <c r="F14" s="2" t="s">
        <v>390</v>
      </c>
      <c r="G14" s="2" t="s">
        <v>391</v>
      </c>
      <c r="H14" s="4">
        <v>46865</v>
      </c>
    </row>
    <row r="15" spans="1:8" x14ac:dyDescent="0.25">
      <c r="A15" s="5" t="s">
        <v>400</v>
      </c>
      <c r="B15" s="5" t="s">
        <v>91</v>
      </c>
      <c r="C15" s="6" t="s">
        <v>401</v>
      </c>
      <c r="D15" s="12">
        <v>10</v>
      </c>
      <c r="E15" s="7">
        <v>119533</v>
      </c>
      <c r="F15" s="5" t="s">
        <v>409</v>
      </c>
      <c r="G15" s="5" t="s">
        <v>410</v>
      </c>
      <c r="H15" s="7">
        <v>54352</v>
      </c>
    </row>
    <row r="16" spans="1:8" x14ac:dyDescent="0.25">
      <c r="A16" s="2" t="s">
        <v>426</v>
      </c>
      <c r="B16" s="2" t="s">
        <v>427</v>
      </c>
      <c r="C16" s="3" t="s">
        <v>428</v>
      </c>
      <c r="D16" s="11">
        <v>9</v>
      </c>
      <c r="E16" s="4">
        <v>223736</v>
      </c>
      <c r="F16" s="2" t="s">
        <v>444</v>
      </c>
      <c r="G16" s="2" t="s">
        <v>445</v>
      </c>
      <c r="H16" s="4">
        <v>74941</v>
      </c>
    </row>
    <row r="17" spans="1:8" x14ac:dyDescent="0.25">
      <c r="A17" s="5" t="s">
        <v>452</v>
      </c>
      <c r="B17" s="5" t="s">
        <v>11</v>
      </c>
      <c r="C17" s="6" t="s">
        <v>453</v>
      </c>
      <c r="D17" s="12">
        <v>8</v>
      </c>
      <c r="E17" s="7">
        <v>122894</v>
      </c>
      <c r="F17" s="5" t="s">
        <v>459</v>
      </c>
      <c r="G17" s="5" t="s">
        <v>460</v>
      </c>
      <c r="H17" s="7">
        <v>45874</v>
      </c>
    </row>
    <row r="18" spans="1:8" x14ac:dyDescent="0.25">
      <c r="A18" s="2" t="s">
        <v>473</v>
      </c>
      <c r="B18" s="2" t="s">
        <v>474</v>
      </c>
      <c r="C18" s="3" t="s">
        <v>475</v>
      </c>
      <c r="D18" s="11">
        <v>10</v>
      </c>
      <c r="E18" s="4">
        <v>169391</v>
      </c>
      <c r="F18" s="2" t="s">
        <v>476</v>
      </c>
      <c r="G18" s="2" t="s">
        <v>477</v>
      </c>
      <c r="H18" s="4">
        <v>118239</v>
      </c>
    </row>
    <row r="19" spans="1:8" x14ac:dyDescent="0.25">
      <c r="A19" s="5" t="s">
        <v>499</v>
      </c>
      <c r="B19" s="5" t="s">
        <v>11</v>
      </c>
      <c r="C19" s="6" t="s">
        <v>500</v>
      </c>
      <c r="D19" s="12">
        <v>14</v>
      </c>
      <c r="E19" s="7">
        <v>882319</v>
      </c>
      <c r="F19" s="5" t="s">
        <v>501</v>
      </c>
      <c r="G19" s="5" t="s">
        <v>112</v>
      </c>
      <c r="H19" s="7">
        <v>697910</v>
      </c>
    </row>
    <row r="20" spans="1:8" x14ac:dyDescent="0.25">
      <c r="A20" s="2" t="s">
        <v>535</v>
      </c>
      <c r="B20" s="2" t="s">
        <v>536</v>
      </c>
      <c r="C20" s="3" t="s">
        <v>537</v>
      </c>
      <c r="D20" s="11">
        <v>8</v>
      </c>
      <c r="E20" s="4">
        <v>216820</v>
      </c>
      <c r="F20" s="2" t="s">
        <v>554</v>
      </c>
      <c r="G20" s="2" t="s">
        <v>555</v>
      </c>
      <c r="H20" s="4">
        <v>115657</v>
      </c>
    </row>
    <row r="21" spans="1:8" x14ac:dyDescent="0.25">
      <c r="A21" s="5" t="s">
        <v>557</v>
      </c>
      <c r="B21" s="5" t="s">
        <v>558</v>
      </c>
      <c r="C21" s="6" t="s">
        <v>559</v>
      </c>
      <c r="D21" s="12">
        <v>9</v>
      </c>
      <c r="E21" s="7">
        <v>141688</v>
      </c>
      <c r="F21" s="5" t="s">
        <v>574</v>
      </c>
      <c r="G21" s="5" t="s">
        <v>575</v>
      </c>
      <c r="H21" s="7">
        <v>57058</v>
      </c>
    </row>
    <row r="22" spans="1:8" x14ac:dyDescent="0.25">
      <c r="A22" s="2" t="s">
        <v>583</v>
      </c>
      <c r="B22" s="2" t="s">
        <v>236</v>
      </c>
      <c r="C22" s="3" t="s">
        <v>584</v>
      </c>
      <c r="D22" s="11">
        <v>10</v>
      </c>
      <c r="E22" s="4">
        <v>129025</v>
      </c>
      <c r="F22" s="2" t="s">
        <v>598</v>
      </c>
      <c r="G22" s="2" t="s">
        <v>599</v>
      </c>
      <c r="H22" s="4">
        <v>57408</v>
      </c>
    </row>
    <row r="23" spans="1:8" x14ac:dyDescent="0.25">
      <c r="A23" s="5" t="s">
        <v>608</v>
      </c>
      <c r="B23" s="5" t="s">
        <v>609</v>
      </c>
      <c r="C23" s="6" t="s">
        <v>610</v>
      </c>
      <c r="D23" s="12">
        <v>9</v>
      </c>
      <c r="E23" s="7">
        <v>156986</v>
      </c>
      <c r="F23" s="5" t="s">
        <v>623</v>
      </c>
      <c r="G23" s="5" t="s">
        <v>624</v>
      </c>
      <c r="H23" s="7">
        <v>74571</v>
      </c>
    </row>
    <row r="24" spans="1:8" x14ac:dyDescent="0.25">
      <c r="A24" s="2" t="s">
        <v>632</v>
      </c>
      <c r="B24" s="2" t="s">
        <v>373</v>
      </c>
      <c r="C24" s="3" t="s">
        <v>633</v>
      </c>
      <c r="D24" s="11">
        <v>7</v>
      </c>
      <c r="E24" s="4">
        <v>202244</v>
      </c>
      <c r="F24" s="2" t="s">
        <v>645</v>
      </c>
      <c r="G24" s="2" t="s">
        <v>646</v>
      </c>
      <c r="H24" s="4">
        <v>82510</v>
      </c>
    </row>
    <row r="25" spans="1:8" x14ac:dyDescent="0.25">
      <c r="A25" s="5" t="s">
        <v>650</v>
      </c>
      <c r="B25" s="5" t="s">
        <v>91</v>
      </c>
      <c r="C25" s="6" t="s">
        <v>651</v>
      </c>
      <c r="D25" s="12">
        <v>13</v>
      </c>
      <c r="E25" s="7">
        <v>78868</v>
      </c>
      <c r="F25" s="5" t="s">
        <v>671</v>
      </c>
      <c r="G25" s="5" t="s">
        <v>672</v>
      </c>
      <c r="H25" s="7">
        <v>27982</v>
      </c>
    </row>
    <row r="26" spans="1:8" x14ac:dyDescent="0.25">
      <c r="A26" s="2" t="s">
        <v>681</v>
      </c>
      <c r="B26" s="2" t="s">
        <v>682</v>
      </c>
      <c r="C26" s="3" t="s">
        <v>683</v>
      </c>
      <c r="D26" s="11">
        <v>14</v>
      </c>
      <c r="E26" s="4">
        <v>128742</v>
      </c>
      <c r="F26" s="2" t="s">
        <v>703</v>
      </c>
      <c r="G26" s="2" t="s">
        <v>704</v>
      </c>
      <c r="H26" s="4">
        <v>36917</v>
      </c>
    </row>
    <row r="27" spans="1:8" x14ac:dyDescent="0.25">
      <c r="A27" s="5" t="s">
        <v>714</v>
      </c>
      <c r="B27" s="5" t="s">
        <v>715</v>
      </c>
      <c r="C27" s="6" t="s">
        <v>716</v>
      </c>
      <c r="D27" s="12">
        <v>6</v>
      </c>
      <c r="E27" s="7">
        <v>81132</v>
      </c>
      <c r="F27" s="5" t="s">
        <v>721</v>
      </c>
      <c r="G27" s="5" t="s">
        <v>722</v>
      </c>
      <c r="H27" s="7">
        <v>30090</v>
      </c>
    </row>
    <row r="28" spans="1:8" x14ac:dyDescent="0.25">
      <c r="A28" s="2" t="s">
        <v>732</v>
      </c>
      <c r="B28" s="2" t="s">
        <v>733</v>
      </c>
      <c r="C28" s="3" t="s">
        <v>734</v>
      </c>
      <c r="D28" s="11">
        <v>18</v>
      </c>
      <c r="E28" s="4">
        <v>398564</v>
      </c>
      <c r="F28" s="2" t="s">
        <v>737</v>
      </c>
      <c r="G28" s="2" t="s">
        <v>738</v>
      </c>
      <c r="H28" s="4">
        <v>85372</v>
      </c>
    </row>
    <row r="29" spans="1:8" x14ac:dyDescent="0.25">
      <c r="A29" s="5" t="s">
        <v>756</v>
      </c>
      <c r="B29" s="5" t="s">
        <v>757</v>
      </c>
      <c r="C29" s="6" t="s">
        <v>758</v>
      </c>
      <c r="D29" s="12">
        <v>14</v>
      </c>
      <c r="E29" s="7">
        <v>142136</v>
      </c>
      <c r="F29" s="5" t="s">
        <v>788</v>
      </c>
      <c r="G29" s="5" t="s">
        <v>157</v>
      </c>
      <c r="H29" s="7">
        <v>78838</v>
      </c>
    </row>
    <row r="30" spans="1:8" x14ac:dyDescent="0.25">
      <c r="A30" s="2" t="s">
        <v>790</v>
      </c>
      <c r="B30" s="2" t="s">
        <v>791</v>
      </c>
      <c r="C30" s="3" t="s">
        <v>792</v>
      </c>
      <c r="D30" s="11">
        <v>10</v>
      </c>
      <c r="E30" s="4">
        <v>153260</v>
      </c>
      <c r="F30" s="2" t="s">
        <v>805</v>
      </c>
      <c r="G30" s="2" t="s">
        <v>806</v>
      </c>
      <c r="H30" s="4">
        <v>62960</v>
      </c>
    </row>
    <row r="31" spans="1:8" x14ac:dyDescent="0.25">
      <c r="A31" s="5" t="s">
        <v>819</v>
      </c>
      <c r="B31" s="5" t="s">
        <v>123</v>
      </c>
      <c r="C31" s="6" t="s">
        <v>820</v>
      </c>
      <c r="D31" s="12">
        <v>11</v>
      </c>
      <c r="E31" s="7">
        <v>177767</v>
      </c>
      <c r="F31" s="5" t="s">
        <v>833</v>
      </c>
      <c r="G31" s="5" t="s">
        <v>834</v>
      </c>
      <c r="H31" s="7">
        <v>85145</v>
      </c>
    </row>
    <row r="32" spans="1:8" x14ac:dyDescent="0.25">
      <c r="A32" s="2" t="s">
        <v>844</v>
      </c>
      <c r="B32" s="2" t="s">
        <v>845</v>
      </c>
      <c r="C32" s="3" t="s">
        <v>846</v>
      </c>
      <c r="D32" s="11">
        <v>9</v>
      </c>
      <c r="E32" s="4">
        <v>81169</v>
      </c>
      <c r="F32" s="2" t="s">
        <v>866</v>
      </c>
      <c r="G32" s="2" t="s">
        <v>74</v>
      </c>
      <c r="H32" s="4">
        <v>27338</v>
      </c>
    </row>
    <row r="33" spans="1:8" x14ac:dyDescent="0.25">
      <c r="A33" s="5" t="s">
        <v>868</v>
      </c>
      <c r="B33" s="5" t="s">
        <v>869</v>
      </c>
      <c r="C33" s="6" t="s">
        <v>870</v>
      </c>
      <c r="D33" s="12">
        <v>10</v>
      </c>
      <c r="E33" s="7">
        <v>167384</v>
      </c>
      <c r="F33" s="5" t="s">
        <v>883</v>
      </c>
      <c r="G33" s="5" t="s">
        <v>884</v>
      </c>
      <c r="H33" s="7">
        <v>71590</v>
      </c>
    </row>
    <row r="34" spans="1:8" x14ac:dyDescent="0.25">
      <c r="A34" s="2" t="s">
        <v>894</v>
      </c>
      <c r="B34" s="2" t="s">
        <v>895</v>
      </c>
      <c r="C34" s="3" t="s">
        <v>896</v>
      </c>
      <c r="D34" s="11">
        <v>16</v>
      </c>
      <c r="E34" s="4">
        <v>212549</v>
      </c>
      <c r="F34" s="2" t="s">
        <v>907</v>
      </c>
      <c r="G34" s="2" t="s">
        <v>908</v>
      </c>
      <c r="H34" s="4">
        <v>70987</v>
      </c>
    </row>
  </sheetData>
  <autoFilter ref="A1:H3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22" customWidth="1"/>
    <col min="4" max="4" width="10" customWidth="1"/>
    <col min="5" max="5" width="18" customWidth="1"/>
    <col min="6" max="6" width="50" customWidth="1"/>
  </cols>
  <sheetData>
    <row r="1" spans="1:6" ht="32.1" customHeight="1" x14ac:dyDescent="0.25">
      <c r="A1" s="13" t="s">
        <v>966</v>
      </c>
      <c r="B1" s="13" t="s">
        <v>1</v>
      </c>
      <c r="C1" s="13" t="s">
        <v>2</v>
      </c>
      <c r="D1" s="13" t="s">
        <v>3</v>
      </c>
      <c r="E1" s="13" t="s">
        <v>967</v>
      </c>
      <c r="F1" s="13" t="s">
        <v>968</v>
      </c>
    </row>
    <row r="2" spans="1:6" x14ac:dyDescent="0.25">
      <c r="A2" s="3">
        <v>1</v>
      </c>
      <c r="B2" s="2" t="s">
        <v>168</v>
      </c>
      <c r="C2" s="2" t="s">
        <v>168</v>
      </c>
      <c r="D2" s="3" t="s">
        <v>169</v>
      </c>
      <c r="E2" s="4">
        <v>7181469</v>
      </c>
      <c r="F2" s="2" t="s">
        <v>969</v>
      </c>
    </row>
    <row r="3" spans="1:6" x14ac:dyDescent="0.25">
      <c r="A3" s="6">
        <v>2</v>
      </c>
      <c r="B3" s="5" t="s">
        <v>499</v>
      </c>
      <c r="C3" s="5" t="s">
        <v>11</v>
      </c>
      <c r="D3" s="6" t="s">
        <v>500</v>
      </c>
      <c r="E3" s="7">
        <v>2700453</v>
      </c>
      <c r="F3" s="5" t="s">
        <v>969</v>
      </c>
    </row>
    <row r="4" spans="1:6" x14ac:dyDescent="0.25">
      <c r="A4" s="3">
        <v>3</v>
      </c>
      <c r="B4" s="2" t="s">
        <v>277</v>
      </c>
      <c r="C4" s="2" t="s">
        <v>236</v>
      </c>
      <c r="D4" s="3" t="s">
        <v>278</v>
      </c>
      <c r="E4" s="4">
        <v>2252616</v>
      </c>
      <c r="F4" s="2" t="s">
        <v>969</v>
      </c>
    </row>
    <row r="5" spans="1:6" x14ac:dyDescent="0.25">
      <c r="A5" s="6">
        <v>4</v>
      </c>
      <c r="B5" s="5" t="s">
        <v>122</v>
      </c>
      <c r="C5" s="5" t="s">
        <v>123</v>
      </c>
      <c r="D5" s="6" t="s">
        <v>124</v>
      </c>
      <c r="E5" s="7">
        <v>1274250</v>
      </c>
      <c r="F5" s="5" t="s">
        <v>969</v>
      </c>
    </row>
    <row r="6" spans="1:6" x14ac:dyDescent="0.25">
      <c r="A6" s="3">
        <v>5</v>
      </c>
      <c r="B6" s="2" t="s">
        <v>305</v>
      </c>
      <c r="C6" s="2" t="s">
        <v>306</v>
      </c>
      <c r="D6" s="3" t="s">
        <v>307</v>
      </c>
      <c r="E6" s="4">
        <v>1081577</v>
      </c>
      <c r="F6" s="2" t="s">
        <v>969</v>
      </c>
    </row>
    <row r="7" spans="1:6" x14ac:dyDescent="0.25">
      <c r="A7" s="6">
        <v>6</v>
      </c>
      <c r="B7" s="5" t="s">
        <v>336</v>
      </c>
      <c r="C7" s="5" t="s">
        <v>337</v>
      </c>
      <c r="D7" s="6" t="s">
        <v>338</v>
      </c>
      <c r="E7" s="7">
        <v>773239</v>
      </c>
      <c r="F7" s="5" t="s">
        <v>969</v>
      </c>
    </row>
    <row r="8" spans="1:6" x14ac:dyDescent="0.25">
      <c r="A8" s="3">
        <v>7</v>
      </c>
      <c r="B8" s="2" t="s">
        <v>819</v>
      </c>
      <c r="C8" s="2" t="s">
        <v>123</v>
      </c>
      <c r="D8" s="3" t="s">
        <v>820</v>
      </c>
      <c r="E8" s="4">
        <v>764068</v>
      </c>
      <c r="F8" s="2" t="s">
        <v>969</v>
      </c>
    </row>
    <row r="9" spans="1:6" x14ac:dyDescent="0.25">
      <c r="A9" s="6">
        <v>8</v>
      </c>
      <c r="B9" s="5" t="s">
        <v>790</v>
      </c>
      <c r="C9" s="5" t="s">
        <v>791</v>
      </c>
      <c r="D9" s="6" t="s">
        <v>792</v>
      </c>
      <c r="E9" s="7">
        <v>743573</v>
      </c>
      <c r="F9" s="5" t="s">
        <v>969</v>
      </c>
    </row>
    <row r="10" spans="1:6" x14ac:dyDescent="0.25">
      <c r="A10" s="3">
        <v>9</v>
      </c>
      <c r="B10" s="2" t="s">
        <v>426</v>
      </c>
      <c r="C10" s="2" t="s">
        <v>427</v>
      </c>
      <c r="D10" s="3" t="s">
        <v>428</v>
      </c>
      <c r="E10" s="4">
        <v>581130</v>
      </c>
      <c r="F10" s="2" t="s">
        <v>969</v>
      </c>
    </row>
    <row r="11" spans="1:6" x14ac:dyDescent="0.25">
      <c r="A11" s="6">
        <v>10</v>
      </c>
      <c r="B11" s="5" t="s">
        <v>194</v>
      </c>
      <c r="C11" s="5" t="s">
        <v>91</v>
      </c>
      <c r="D11" s="6" t="s">
        <v>195</v>
      </c>
      <c r="E11" s="7">
        <v>541607</v>
      </c>
      <c r="F11" s="5" t="s">
        <v>969</v>
      </c>
    </row>
    <row r="12" spans="1:6" x14ac:dyDescent="0.25">
      <c r="A12" s="3">
        <v>11</v>
      </c>
      <c r="B12" s="2" t="s">
        <v>732</v>
      </c>
      <c r="C12" s="2" t="s">
        <v>733</v>
      </c>
      <c r="D12" s="3" t="s">
        <v>734</v>
      </c>
      <c r="E12" s="4">
        <v>527949</v>
      </c>
      <c r="F12" s="2" t="s">
        <v>969</v>
      </c>
    </row>
    <row r="13" spans="1:6" x14ac:dyDescent="0.25">
      <c r="A13" s="6">
        <v>12</v>
      </c>
      <c r="B13" s="5" t="s">
        <v>141</v>
      </c>
      <c r="C13" s="5" t="s">
        <v>11</v>
      </c>
      <c r="D13" s="6" t="s">
        <v>142</v>
      </c>
      <c r="E13" s="7">
        <v>524360</v>
      </c>
      <c r="F13" s="5" t="s">
        <v>969</v>
      </c>
    </row>
    <row r="14" spans="1:6" x14ac:dyDescent="0.25">
      <c r="A14" s="3">
        <v>13</v>
      </c>
      <c r="B14" s="2" t="s">
        <v>632</v>
      </c>
      <c r="C14" s="2" t="s">
        <v>373</v>
      </c>
      <c r="D14" s="3" t="s">
        <v>633</v>
      </c>
      <c r="E14" s="4">
        <v>483865</v>
      </c>
      <c r="F14" s="2" t="s">
        <v>969</v>
      </c>
    </row>
    <row r="15" spans="1:6" x14ac:dyDescent="0.25">
      <c r="A15" s="6">
        <v>14</v>
      </c>
      <c r="B15" s="5" t="s">
        <v>535</v>
      </c>
      <c r="C15" s="5" t="s">
        <v>536</v>
      </c>
      <c r="D15" s="6" t="s">
        <v>537</v>
      </c>
      <c r="E15" s="7">
        <v>477036</v>
      </c>
      <c r="F15" s="5" t="s">
        <v>969</v>
      </c>
    </row>
    <row r="16" spans="1:6" x14ac:dyDescent="0.25">
      <c r="A16" s="3">
        <v>15</v>
      </c>
      <c r="B16" s="2" t="s">
        <v>868</v>
      </c>
      <c r="C16" s="2" t="s">
        <v>869</v>
      </c>
      <c r="D16" s="3" t="s">
        <v>870</v>
      </c>
      <c r="E16" s="4">
        <v>470498</v>
      </c>
      <c r="F16" s="2" t="s">
        <v>969</v>
      </c>
    </row>
    <row r="17" spans="1:6" x14ac:dyDescent="0.25">
      <c r="A17" s="6">
        <v>16</v>
      </c>
      <c r="B17" s="5" t="s">
        <v>608</v>
      </c>
      <c r="C17" s="5" t="s">
        <v>609</v>
      </c>
      <c r="D17" s="6" t="s">
        <v>610</v>
      </c>
      <c r="E17" s="7">
        <v>448737</v>
      </c>
      <c r="F17" s="5" t="s">
        <v>969</v>
      </c>
    </row>
    <row r="18" spans="1:6" x14ac:dyDescent="0.25">
      <c r="A18" s="3">
        <v>17</v>
      </c>
      <c r="B18" s="2" t="s">
        <v>235</v>
      </c>
      <c r="C18" s="2" t="s">
        <v>236</v>
      </c>
      <c r="D18" s="3" t="s">
        <v>237</v>
      </c>
      <c r="E18" s="4">
        <v>430307</v>
      </c>
      <c r="F18" s="2" t="s">
        <v>969</v>
      </c>
    </row>
    <row r="19" spans="1:6" x14ac:dyDescent="0.25">
      <c r="A19" s="6">
        <v>18</v>
      </c>
      <c r="B19" s="5" t="s">
        <v>894</v>
      </c>
      <c r="C19" s="5" t="s">
        <v>895</v>
      </c>
      <c r="D19" s="6" t="s">
        <v>896</v>
      </c>
      <c r="E19" s="7">
        <v>419029</v>
      </c>
      <c r="F19" s="5" t="s">
        <v>969</v>
      </c>
    </row>
    <row r="20" spans="1:6" x14ac:dyDescent="0.25">
      <c r="A20" s="3">
        <v>19</v>
      </c>
      <c r="B20" s="2" t="s">
        <v>473</v>
      </c>
      <c r="C20" s="2" t="s">
        <v>474</v>
      </c>
      <c r="D20" s="3" t="s">
        <v>475</v>
      </c>
      <c r="E20" s="4">
        <v>416979</v>
      </c>
      <c r="F20" s="2" t="s">
        <v>969</v>
      </c>
    </row>
    <row r="21" spans="1:6" x14ac:dyDescent="0.25">
      <c r="A21" s="6">
        <v>20</v>
      </c>
      <c r="B21" s="5" t="s">
        <v>557</v>
      </c>
      <c r="C21" s="5" t="s">
        <v>558</v>
      </c>
      <c r="D21" s="6" t="s">
        <v>559</v>
      </c>
      <c r="E21" s="7">
        <v>358639</v>
      </c>
      <c r="F21" s="5" t="s">
        <v>969</v>
      </c>
    </row>
    <row r="22" spans="1:6" x14ac:dyDescent="0.25">
      <c r="A22" s="3">
        <v>21</v>
      </c>
      <c r="B22" s="2" t="s">
        <v>681</v>
      </c>
      <c r="C22" s="2" t="s">
        <v>682</v>
      </c>
      <c r="D22" s="3" t="s">
        <v>683</v>
      </c>
      <c r="E22" s="4">
        <v>352619</v>
      </c>
      <c r="F22" s="2" t="s">
        <v>969</v>
      </c>
    </row>
    <row r="23" spans="1:6" x14ac:dyDescent="0.25">
      <c r="A23" s="6">
        <v>22</v>
      </c>
      <c r="B23" s="5" t="s">
        <v>583</v>
      </c>
      <c r="C23" s="5" t="s">
        <v>236</v>
      </c>
      <c r="D23" s="6" t="s">
        <v>584</v>
      </c>
      <c r="E23" s="7">
        <v>321772</v>
      </c>
      <c r="F23" s="5" t="s">
        <v>969</v>
      </c>
    </row>
    <row r="24" spans="1:6" x14ac:dyDescent="0.25">
      <c r="A24" s="3">
        <v>23</v>
      </c>
      <c r="B24" s="2" t="s">
        <v>756</v>
      </c>
      <c r="C24" s="2" t="s">
        <v>757</v>
      </c>
      <c r="D24" s="3" t="s">
        <v>758</v>
      </c>
      <c r="E24" s="4">
        <v>316032</v>
      </c>
      <c r="F24" s="2" t="s">
        <v>969</v>
      </c>
    </row>
    <row r="25" spans="1:6" x14ac:dyDescent="0.25">
      <c r="A25" s="6">
        <v>24</v>
      </c>
      <c r="B25" s="5" t="s">
        <v>48</v>
      </c>
      <c r="C25" s="5" t="s">
        <v>49</v>
      </c>
      <c r="D25" s="6" t="s">
        <v>50</v>
      </c>
      <c r="E25" s="7">
        <v>305058</v>
      </c>
      <c r="F25" s="5" t="s">
        <v>969</v>
      </c>
    </row>
    <row r="26" spans="1:6" x14ac:dyDescent="0.25">
      <c r="A26" s="3">
        <v>25</v>
      </c>
      <c r="B26" s="2" t="s">
        <v>714</v>
      </c>
      <c r="C26" s="2" t="s">
        <v>715</v>
      </c>
      <c r="D26" s="3" t="s">
        <v>716</v>
      </c>
      <c r="E26" s="4">
        <v>281054</v>
      </c>
      <c r="F26" s="2" t="s">
        <v>969</v>
      </c>
    </row>
    <row r="27" spans="1:6" x14ac:dyDescent="0.25">
      <c r="A27" s="6">
        <v>26</v>
      </c>
      <c r="B27" s="5" t="s">
        <v>400</v>
      </c>
      <c r="C27" s="5" t="s">
        <v>91</v>
      </c>
      <c r="D27" s="6" t="s">
        <v>401</v>
      </c>
      <c r="E27" s="7">
        <v>279426</v>
      </c>
      <c r="F27" s="5" t="s">
        <v>969</v>
      </c>
    </row>
    <row r="28" spans="1:6" x14ac:dyDescent="0.25">
      <c r="A28" s="3">
        <v>27</v>
      </c>
      <c r="B28" s="2" t="s">
        <v>452</v>
      </c>
      <c r="C28" s="2" t="s">
        <v>11</v>
      </c>
      <c r="D28" s="3" t="s">
        <v>453</v>
      </c>
      <c r="E28" s="4">
        <v>276122</v>
      </c>
      <c r="F28" s="2" t="s">
        <v>969</v>
      </c>
    </row>
    <row r="29" spans="1:6" x14ac:dyDescent="0.25">
      <c r="A29" s="6">
        <v>28</v>
      </c>
      <c r="B29" s="5" t="s">
        <v>388</v>
      </c>
      <c r="C29" s="5" t="s">
        <v>11</v>
      </c>
      <c r="D29" s="6" t="s">
        <v>389</v>
      </c>
      <c r="E29" s="7">
        <v>243071</v>
      </c>
      <c r="F29" s="5" t="s">
        <v>969</v>
      </c>
    </row>
    <row r="30" spans="1:6" x14ac:dyDescent="0.25">
      <c r="A30" s="3">
        <v>29</v>
      </c>
      <c r="B30" s="2" t="s">
        <v>90</v>
      </c>
      <c r="C30" s="2" t="s">
        <v>91</v>
      </c>
      <c r="D30" s="3" t="s">
        <v>92</v>
      </c>
      <c r="E30" s="4">
        <v>234682</v>
      </c>
      <c r="F30" s="2" t="s">
        <v>969</v>
      </c>
    </row>
    <row r="31" spans="1:6" x14ac:dyDescent="0.25">
      <c r="A31" s="6">
        <v>30</v>
      </c>
      <c r="B31" s="5" t="s">
        <v>372</v>
      </c>
      <c r="C31" s="5" t="s">
        <v>373</v>
      </c>
      <c r="D31" s="6" t="s">
        <v>374</v>
      </c>
      <c r="E31" s="7">
        <v>225398</v>
      </c>
      <c r="F31" s="5" t="s">
        <v>969</v>
      </c>
    </row>
    <row r="32" spans="1:6" x14ac:dyDescent="0.25">
      <c r="A32" s="3">
        <v>31</v>
      </c>
      <c r="B32" s="2" t="s">
        <v>844</v>
      </c>
      <c r="C32" s="2" t="s">
        <v>845</v>
      </c>
      <c r="D32" s="3" t="s">
        <v>846</v>
      </c>
      <c r="E32" s="4">
        <v>205001</v>
      </c>
      <c r="F32" s="2" t="s">
        <v>969</v>
      </c>
    </row>
    <row r="33" spans="1:6" x14ac:dyDescent="0.25">
      <c r="A33" s="6">
        <v>32</v>
      </c>
      <c r="B33" s="5" t="s">
        <v>10</v>
      </c>
      <c r="C33" s="5" t="s">
        <v>11</v>
      </c>
      <c r="D33" s="6" t="s">
        <v>12</v>
      </c>
      <c r="E33" s="7">
        <v>198412</v>
      </c>
      <c r="F33" s="5" t="s">
        <v>969</v>
      </c>
    </row>
    <row r="34" spans="1:6" x14ac:dyDescent="0.25">
      <c r="A34" s="3">
        <v>33</v>
      </c>
      <c r="B34" s="2" t="s">
        <v>650</v>
      </c>
      <c r="C34" s="2" t="s">
        <v>91</v>
      </c>
      <c r="D34" s="3" t="s">
        <v>651</v>
      </c>
      <c r="E34" s="4">
        <v>196084</v>
      </c>
      <c r="F34" s="2" t="s">
        <v>969</v>
      </c>
    </row>
    <row r="35" spans="1:6" x14ac:dyDescent="0.25">
      <c r="A35" s="14"/>
      <c r="B35" s="14" t="s">
        <v>970</v>
      </c>
      <c r="C35" s="14"/>
      <c r="D35" s="14"/>
      <c r="E35" s="15">
        <f>SUM(E2:E34)</f>
        <v>25886112</v>
      </c>
      <c r="F35" s="14"/>
    </row>
    <row r="37" spans="1:6" x14ac:dyDescent="0.25">
      <c r="A37" s="33" t="s">
        <v>971</v>
      </c>
      <c r="B37" s="34"/>
      <c r="C37" s="34"/>
      <c r="D37" s="34"/>
      <c r="E37" s="34"/>
      <c r="F37" s="34"/>
    </row>
  </sheetData>
  <autoFilter ref="A1:F34" xr:uid="{00000000-0009-0000-0000-000003000000}"/>
  <mergeCells count="1">
    <mergeCell ref="A37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Candidatos E-26 ALC</vt:lpstr>
      <vt:lpstr>Redes Sociales</vt:lpstr>
      <vt:lpstr>Hoja1</vt:lpstr>
      <vt:lpstr>Resumen por Municipio</vt:lpstr>
      <vt:lpstr>Población 2023 (DANE)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Sotelo Aguilar</cp:lastModifiedBy>
  <dcterms:created xsi:type="dcterms:W3CDTF">2026-04-02T19:25:57Z</dcterms:created>
  <dcterms:modified xsi:type="dcterms:W3CDTF">2026-06-10T19:47:21Z</dcterms:modified>
</cp:coreProperties>
</file>